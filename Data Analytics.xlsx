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c8401450a766128/Desktop/"/>
    </mc:Choice>
  </mc:AlternateContent>
  <xr:revisionPtr revIDLastSave="0" documentId="8_{BCE5704D-FD0C-4E17-BDF2-6F8137BCB3E2}" xr6:coauthVersionLast="47" xr6:coauthVersionMax="47" xr10:uidLastSave="{00000000-0000-0000-0000-000000000000}"/>
  <bookViews>
    <workbookView xWindow="-110" yWindow="-110" windowWidth="19420" windowHeight="11500" xr2:uid="{2141963E-EAC3-4A28-ACC0-18B1B94E6919}"/>
  </bookViews>
  <sheets>
    <sheet name="Sheet3" sheetId="3" r:id="rId1"/>
    <sheet name="Sheet1" sheetId="1" r:id="rId2"/>
  </sheets>
  <definedNames>
    <definedName name="_xlcn.WorksheetConnection_Book1Table11" hidden="1">Table1[]</definedName>
    <definedName name="Slicer_Category">#N/A</definedName>
    <definedName name="Slicer_Month">#N/A</definedName>
    <definedName name="Slicer_Region">#N/A</definedName>
  </definedNames>
  <calcPr calcId="191029"/>
  <pivotCaches>
    <pivotCache cacheId="1" r:id="rId3"/>
    <pivotCache cacheId="2" r:id="rId4"/>
    <pivotCache cacheId="3" r:id="rId5"/>
    <pivotCache cacheId="4" r:id="rId6"/>
    <pivotCache cacheId="9" r:id="rId7"/>
    <pivotCache cacheId="24" r:id="rId8"/>
  </pivotCaches>
  <fileRecoveryPr repairLoad="1"/>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4" i="1"/>
  <c r="N55" i="1"/>
  <c r="N56" i="1"/>
  <c r="N57" i="1"/>
  <c r="N58" i="1"/>
  <c r="N59" i="1"/>
  <c r="N60" i="1"/>
  <c r="N61" i="1"/>
  <c r="N62" i="1"/>
  <c r="N63" i="1"/>
  <c r="N64" i="1"/>
  <c r="N65" i="1"/>
  <c r="N66" i="1"/>
  <c r="N67" i="1"/>
  <c r="N69" i="1"/>
  <c r="N70" i="1"/>
  <c r="N71" i="1"/>
  <c r="N72" i="1"/>
  <c r="N73" i="1"/>
  <c r="N74" i="1"/>
  <c r="N75" i="1"/>
  <c r="N76" i="1"/>
  <c r="N77" i="1"/>
  <c r="N78" i="1"/>
  <c r="N79" i="1"/>
  <c r="N80" i="1"/>
  <c r="N81" i="1"/>
  <c r="N83"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8" i="1"/>
  <c r="N159" i="1"/>
  <c r="N160" i="1"/>
  <c r="N161" i="1"/>
  <c r="N162" i="1"/>
  <c r="N163" i="1"/>
  <c r="N164" i="1"/>
  <c r="N165" i="1"/>
  <c r="N166" i="1"/>
  <c r="N167" i="1"/>
  <c r="N168" i="1"/>
  <c r="N169" i="1"/>
  <c r="N170" i="1"/>
  <c r="N171" i="1"/>
  <c r="N172" i="1"/>
  <c r="N173" i="1"/>
  <c r="N174" i="1"/>
  <c r="N175" i="1"/>
  <c r="N176" i="1"/>
  <c r="N177" i="1"/>
  <c r="N179" i="1"/>
  <c r="N180" i="1"/>
  <c r="N181" i="1"/>
  <c r="N182" i="1"/>
  <c r="N183" i="1"/>
  <c r="N185" i="1"/>
  <c r="N186" i="1"/>
  <c r="N187" i="1"/>
  <c r="N188" i="1"/>
  <c r="N189" i="1"/>
  <c r="N190" i="1"/>
  <c r="N191" i="1"/>
  <c r="N192" i="1"/>
  <c r="N193" i="1"/>
  <c r="N194" i="1"/>
  <c r="N196" i="1"/>
  <c r="N197" i="1"/>
  <c r="N198" i="1"/>
  <c r="N199" i="1"/>
  <c r="N200" i="1"/>
  <c r="N201" i="1"/>
  <c r="N202" i="1"/>
  <c r="N203" i="1"/>
  <c r="N205" i="1"/>
  <c r="N206" i="1"/>
  <c r="N207" i="1"/>
  <c r="N208" i="1"/>
  <c r="N209" i="1"/>
  <c r="N210" i="1"/>
  <c r="N211" i="1"/>
  <c r="N212" i="1"/>
  <c r="N213" i="1"/>
  <c r="N214" i="1"/>
  <c r="N215" i="1"/>
  <c r="N216" i="1"/>
  <c r="N217" i="1"/>
  <c r="N218" i="1"/>
  <c r="N219" i="1"/>
  <c r="N220"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9" i="1"/>
  <c r="N301" i="1"/>
  <c r="N302" i="1"/>
  <c r="N303" i="1"/>
  <c r="N304"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1" i="1"/>
  <c r="N572" i="1"/>
  <c r="N573" i="1"/>
  <c r="N574" i="1"/>
  <c r="N575" i="1"/>
  <c r="N576" i="1"/>
  <c r="N577" i="1"/>
  <c r="N578" i="1"/>
  <c r="N579" i="1"/>
  <c r="N580" i="1"/>
  <c r="N581" i="1"/>
  <c r="N582" i="1"/>
  <c r="N583" i="1"/>
  <c r="N584" i="1"/>
  <c r="N585" i="1"/>
  <c r="N586" i="1"/>
  <c r="N588" i="1"/>
  <c r="N589" i="1"/>
  <c r="N590" i="1"/>
  <c r="N591" i="1"/>
  <c r="N592" i="1"/>
  <c r="N593" i="1"/>
  <c r="N594" i="1"/>
  <c r="N595" i="1"/>
  <c r="N596" i="1"/>
  <c r="N598" i="1"/>
  <c r="N599" i="1"/>
  <c r="N600" i="1"/>
  <c r="N601" i="1"/>
  <c r="N602" i="1"/>
  <c r="N603" i="1"/>
  <c r="N604" i="1"/>
  <c r="N605" i="1"/>
  <c r="N606" i="1"/>
  <c r="N607" i="1"/>
  <c r="N609" i="1"/>
  <c r="N610" i="1"/>
  <c r="N611" i="1"/>
  <c r="N612" i="1"/>
  <c r="N613" i="1"/>
  <c r="N614" i="1"/>
  <c r="N615" i="1"/>
  <c r="N616" i="1"/>
  <c r="N617" i="1"/>
  <c r="N618" i="1"/>
  <c r="N619" i="1"/>
  <c r="N620" i="1"/>
  <c r="N621" i="1"/>
  <c r="N622" i="1"/>
  <c r="N623" i="1"/>
  <c r="N625" i="1"/>
  <c r="N626" i="1"/>
  <c r="N627" i="1"/>
  <c r="N628" i="1"/>
  <c r="N629" i="1"/>
  <c r="N630" i="1"/>
  <c r="N631" i="1"/>
  <c r="N632" i="1"/>
  <c r="N633" i="1"/>
  <c r="N634" i="1"/>
  <c r="N635" i="1"/>
  <c r="N637" i="1"/>
  <c r="N638" i="1"/>
  <c r="N639" i="1"/>
  <c r="N640" i="1"/>
  <c r="N641" i="1"/>
  <c r="N643" i="1"/>
  <c r="N644" i="1"/>
  <c r="N645" i="1"/>
  <c r="N646" i="1"/>
  <c r="N648" i="1"/>
  <c r="N649" i="1"/>
  <c r="N650" i="1"/>
  <c r="N651" i="1"/>
  <c r="N652" i="1"/>
  <c r="N653" i="1"/>
  <c r="N654" i="1"/>
  <c r="N655" i="1"/>
  <c r="N656" i="1"/>
  <c r="N657" i="1"/>
  <c r="N658" i="1"/>
  <c r="N659" i="1"/>
  <c r="N660" i="1"/>
  <c r="N661" i="1"/>
  <c r="N662"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1" i="1"/>
  <c r="N752" i="1"/>
  <c r="N753" i="1"/>
  <c r="N754" i="1"/>
  <c r="N755" i="1"/>
  <c r="N756" i="1"/>
  <c r="N757" i="1"/>
  <c r="N758" i="1"/>
  <c r="N759" i="1"/>
  <c r="N760" i="1"/>
  <c r="N761" i="1"/>
  <c r="N762" i="1"/>
  <c r="N763" i="1"/>
  <c r="N764" i="1"/>
  <c r="N765" i="1"/>
  <c r="N766" i="1"/>
  <c r="N768" i="1"/>
  <c r="N769" i="1"/>
  <c r="N770"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1" i="1"/>
  <c r="N852" i="1"/>
  <c r="N853" i="1"/>
  <c r="N854" i="1"/>
  <c r="N855" i="1"/>
  <c r="N856" i="1"/>
  <c r="N857" i="1"/>
  <c r="N858" i="1"/>
  <c r="N859" i="1"/>
  <c r="N860" i="1"/>
  <c r="N861" i="1"/>
  <c r="N862" i="1"/>
  <c r="N863"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3" i="1"/>
  <c r="N924" i="1"/>
  <c r="N925"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7" i="1"/>
  <c r="N1028" i="1"/>
  <c r="N1029" i="1"/>
  <c r="N1030" i="1"/>
  <c r="N1031" i="1"/>
  <c r="N1032" i="1"/>
  <c r="N1033" i="1"/>
  <c r="N1034" i="1"/>
  <c r="N1035" i="1"/>
  <c r="N1036" i="1"/>
  <c r="N1037" i="1"/>
  <c r="N1039" i="1"/>
  <c r="N1040" i="1"/>
  <c r="N1041" i="1"/>
  <c r="N1042" i="1"/>
  <c r="N1043" i="1"/>
  <c r="N1044" i="1"/>
  <c r="N1045" i="1"/>
  <c r="N1046" i="1"/>
  <c r="N1047" i="1"/>
  <c r="N1048" i="1"/>
  <c r="N1049" i="1"/>
  <c r="N1050" i="1"/>
  <c r="N1051" i="1"/>
  <c r="N1052" i="1"/>
  <c r="N1053" i="1"/>
  <c r="N1054" i="1"/>
  <c r="N1056" i="1"/>
  <c r="N1057" i="1"/>
  <c r="N1058" i="1"/>
  <c r="N1059" i="1"/>
  <c r="N1060" i="1"/>
  <c r="N1061" i="1"/>
  <c r="N1062"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1" i="1"/>
  <c r="N1092" i="1"/>
  <c r="N1093" i="1"/>
  <c r="N1094" i="1"/>
  <c r="N1095" i="1"/>
  <c r="N1096" i="1"/>
  <c r="N1097" i="1"/>
  <c r="N1098" i="1"/>
  <c r="N1099" i="1"/>
  <c r="N1100" i="1"/>
  <c r="N1101" i="1"/>
  <c r="N1102"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8" i="1"/>
  <c r="N1139" i="1"/>
  <c r="N1140" i="1"/>
  <c r="N1141" i="1"/>
  <c r="N1143" i="1"/>
  <c r="N1144" i="1"/>
  <c r="N1145" i="1"/>
  <c r="N1146"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2" i="1"/>
  <c r="N1203" i="1"/>
  <c r="N1204" i="1"/>
  <c r="N1205" i="1"/>
  <c r="N1206" i="1"/>
  <c r="N1207" i="1"/>
  <c r="N1208" i="1"/>
  <c r="N1209" i="1"/>
  <c r="N1210" i="1"/>
  <c r="N1211" i="1"/>
  <c r="N1212" i="1"/>
  <c r="N1213" i="1"/>
  <c r="N1214" i="1"/>
  <c r="N1215" i="1"/>
  <c r="N121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L1201" i="1"/>
  <c r="N1201" i="1" s="1"/>
  <c r="L1147" i="1"/>
  <c r="N1147" i="1" s="1"/>
  <c r="L1142" i="1"/>
  <c r="N1142" i="1" s="1"/>
  <c r="L1137" i="1"/>
  <c r="N1137" i="1" s="1"/>
  <c r="L1103" i="1"/>
  <c r="N1103" i="1" s="1"/>
  <c r="L1090" i="1"/>
  <c r="N1090" i="1" s="1"/>
  <c r="L1063" i="1"/>
  <c r="N1063" i="1" s="1"/>
  <c r="L1055" i="1"/>
  <c r="N1055" i="1" s="1"/>
  <c r="L1038" i="1"/>
  <c r="N1038" i="1" s="1"/>
  <c r="L1026" i="1"/>
  <c r="N1026" i="1" s="1"/>
  <c r="L926" i="1"/>
  <c r="N926" i="1" s="1"/>
  <c r="L922" i="1"/>
  <c r="N922" i="1" s="1"/>
  <c r="L865" i="1"/>
  <c r="N865" i="1" s="1"/>
  <c r="L864" i="1"/>
  <c r="N864" i="1" s="1"/>
  <c r="L850" i="1"/>
  <c r="N850" i="1" s="1"/>
  <c r="L771" i="1"/>
  <c r="N771" i="1" s="1"/>
  <c r="L767" i="1"/>
  <c r="N767" i="1" s="1"/>
  <c r="L750" i="1"/>
  <c r="N750" i="1" s="1"/>
  <c r="L663" i="1"/>
  <c r="N663" i="1" s="1"/>
  <c r="L647" i="1"/>
  <c r="N647" i="1" s="1"/>
  <c r="L642" i="1"/>
  <c r="N642" i="1" s="1"/>
  <c r="L636" i="1"/>
  <c r="N636" i="1" s="1"/>
  <c r="L624" i="1"/>
  <c r="N624" i="1" s="1"/>
  <c r="L608" i="1"/>
  <c r="N608" i="1" s="1"/>
  <c r="L597" i="1"/>
  <c r="N597" i="1" s="1"/>
  <c r="L587" i="1"/>
  <c r="N587" i="1" s="1"/>
  <c r="L570" i="1"/>
  <c r="N570" i="1" s="1"/>
  <c r="L542" i="1"/>
  <c r="N542" i="1" s="1"/>
  <c r="L469" i="1"/>
  <c r="N469" i="1" s="1"/>
  <c r="L424" i="1"/>
  <c r="N424" i="1" s="1"/>
  <c r="L354" i="1"/>
  <c r="N354" i="1" s="1"/>
  <c r="L305" i="1"/>
  <c r="N305" i="1" s="1"/>
  <c r="L300" i="1"/>
  <c r="N300" i="1" s="1"/>
  <c r="L298" i="1"/>
  <c r="N298" i="1" s="1"/>
  <c r="L258" i="1"/>
  <c r="N258" i="1" s="1"/>
  <c r="L221" i="1"/>
  <c r="N221" i="1" s="1"/>
  <c r="L204" i="1"/>
  <c r="N204" i="1" s="1"/>
  <c r="L195" i="1"/>
  <c r="N195" i="1" s="1"/>
  <c r="L184" i="1"/>
  <c r="N184" i="1" s="1"/>
  <c r="L178" i="1"/>
  <c r="N178" i="1" s="1"/>
  <c r="L157" i="1"/>
  <c r="N157" i="1" s="1"/>
  <c r="L112" i="1"/>
  <c r="N112" i="1" s="1"/>
  <c r="L84" i="1"/>
  <c r="N84" i="1" s="1"/>
  <c r="L82" i="1"/>
  <c r="N82" i="1" s="1"/>
  <c r="L68" i="1"/>
  <c r="N68" i="1" s="1"/>
  <c r="L53" i="1"/>
  <c r="N5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CFEDA8-6C3F-4979-ACFE-783AC57D66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DA5483-7F84-4FB9-9666-86F2959DF27D}"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<sst xmlns="http://schemas.openxmlformats.org/spreadsheetml/2006/main" count="8476" uniqueCount="1285">
  <si>
    <t>OrderID</t>
  </si>
  <si>
    <t>OrderDate</t>
  </si>
  <si>
    <t>Region</t>
  </si>
  <si>
    <t>City</t>
  </si>
  <si>
    <t>Category</t>
  </si>
  <si>
    <t>Product</t>
  </si>
  <si>
    <t>SalesRep</t>
  </si>
  <si>
    <t>Quantity</t>
  </si>
  <si>
    <t>UnitPrice</t>
  </si>
  <si>
    <t>Discount%</t>
  </si>
  <si>
    <t>PaymentMode</t>
  </si>
  <si>
    <t>TotalSales</t>
  </si>
  <si>
    <t>ORD1001</t>
  </si>
  <si>
    <t>East</t>
  </si>
  <si>
    <t>Kolkata</t>
  </si>
  <si>
    <t>Electronics</t>
  </si>
  <si>
    <t>Mobile</t>
  </si>
  <si>
    <t>Priya</t>
  </si>
  <si>
    <t>Card</t>
  </si>
  <si>
    <t>ORD1002</t>
  </si>
  <si>
    <t>South</t>
  </si>
  <si>
    <t>Hyderabad</t>
  </si>
  <si>
    <t>Furniture</t>
  </si>
  <si>
    <t>Chair</t>
  </si>
  <si>
    <t>Rahul</t>
  </si>
  <si>
    <t>NetBanking</t>
  </si>
  <si>
    <t>ORD1003</t>
  </si>
  <si>
    <t>Bangalore</t>
  </si>
  <si>
    <t>Clothing</t>
  </si>
  <si>
    <t>Jacket</t>
  </si>
  <si>
    <t>Pooja</t>
  </si>
  <si>
    <t>UPI</t>
  </si>
  <si>
    <t>ORD1004</t>
  </si>
  <si>
    <t>Bhubaneswar</t>
  </si>
  <si>
    <t>Grocery</t>
  </si>
  <si>
    <t>Rice</t>
  </si>
  <si>
    <t>ORD1005</t>
  </si>
  <si>
    <t>Patna</t>
  </si>
  <si>
    <t>Smartwatch</t>
  </si>
  <si>
    <t>ORD1006</t>
  </si>
  <si>
    <t>West</t>
  </si>
  <si>
    <t>Pune</t>
  </si>
  <si>
    <t>Table</t>
  </si>
  <si>
    <t>Amit</t>
  </si>
  <si>
    <t>Cash</t>
  </si>
  <si>
    <t>ORD1007</t>
  </si>
  <si>
    <t>North</t>
  </si>
  <si>
    <t>Delhi</t>
  </si>
  <si>
    <t>Atta</t>
  </si>
  <si>
    <t>Vikas</t>
  </si>
  <si>
    <t>ORD1008</t>
  </si>
  <si>
    <t>Ahmedabad</t>
  </si>
  <si>
    <t>Sofa</t>
  </si>
  <si>
    <t>ORD1009</t>
  </si>
  <si>
    <t>ORD1010</t>
  </si>
  <si>
    <t>Mumbai</t>
  </si>
  <si>
    <t>Headphone</t>
  </si>
  <si>
    <t>ORD1011</t>
  </si>
  <si>
    <t>ORD1012</t>
  </si>
  <si>
    <t>Laptop</t>
  </si>
  <si>
    <t>ORD1013</t>
  </si>
  <si>
    <t>Oil</t>
  </si>
  <si>
    <t>ORD1014</t>
  </si>
  <si>
    <t>ORD1015</t>
  </si>
  <si>
    <t>ORD1016</t>
  </si>
  <si>
    <t>ORD1017</t>
  </si>
  <si>
    <t>Arjun</t>
  </si>
  <si>
    <t>ORD1018</t>
  </si>
  <si>
    <t>ORD1019</t>
  </si>
  <si>
    <t>Sneha</t>
  </si>
  <si>
    <t>ORD1020</t>
  </si>
  <si>
    <t>Jaipur</t>
  </si>
  <si>
    <t>ORD1021</t>
  </si>
  <si>
    <t>ORD1022</t>
  </si>
  <si>
    <t>ORD1023</t>
  </si>
  <si>
    <t>ORD1024</t>
  </si>
  <si>
    <t>T-Shirt</t>
  </si>
  <si>
    <t>ORD1025</t>
  </si>
  <si>
    <t>ORD1026</t>
  </si>
  <si>
    <t>Lucknow</t>
  </si>
  <si>
    <t>ORD1027</t>
  </si>
  <si>
    <t>ORD1028</t>
  </si>
  <si>
    <t>Almirah</t>
  </si>
  <si>
    <t>Neha</t>
  </si>
  <si>
    <t>ORD1029</t>
  </si>
  <si>
    <t>ORD1030</t>
  </si>
  <si>
    <t>ORD1031</t>
  </si>
  <si>
    <t>ORD1032</t>
  </si>
  <si>
    <t>Sugar</t>
  </si>
  <si>
    <t>ORD1033</t>
  </si>
  <si>
    <t>ORD1034</t>
  </si>
  <si>
    <t>ORD1035</t>
  </si>
  <si>
    <t>ORD1036</t>
  </si>
  <si>
    <t>ORD1037</t>
  </si>
  <si>
    <t>ORD1038</t>
  </si>
  <si>
    <t>ORD1039</t>
  </si>
  <si>
    <t>ORD1040</t>
  </si>
  <si>
    <t>Chennai</t>
  </si>
  <si>
    <t>ORD1041</t>
  </si>
  <si>
    <t>ORD1042</t>
  </si>
  <si>
    <t>ORD1043</t>
  </si>
  <si>
    <t>ORD1044</t>
  </si>
  <si>
    <t>ORD1045</t>
  </si>
  <si>
    <t>ORD1046</t>
  </si>
  <si>
    <t>Saree</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</si>
  <si>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</si>
  <si>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</si>
  <si>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</si>
  <si>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</si>
  <si>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</si>
  <si>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</si>
  <si>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</si>
  <si>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</si>
  <si>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</si>
  <si>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</si>
  <si>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</si>
  <si>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</si>
  <si>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</si>
  <si>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</si>
  <si>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</si>
  <si>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</si>
  <si>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</si>
  <si>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</si>
  <si>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</si>
  <si>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</si>
  <si>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Jeans</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</si>
  <si>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</si>
  <si>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</si>
  <si>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</si>
  <si>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</si>
  <si>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</si>
  <si>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</si>
  <si>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</si>
  <si>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</si>
  <si>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</si>
  <si>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</si>
  <si>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</si>
  <si>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</si>
  <si>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</si>
  <si>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</si>
  <si>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</si>
  <si>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</si>
  <si>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</si>
  <si>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</si>
  <si>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</si>
  <si>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</si>
  <si>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</si>
  <si>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</si>
  <si>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</si>
  <si>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</si>
  <si>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</si>
  <si>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</si>
  <si>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</si>
  <si>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</si>
  <si>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</si>
  <si>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</si>
  <si>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</si>
  <si>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</si>
  <si>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</si>
  <si>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</si>
  <si>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</si>
  <si>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</si>
  <si>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</si>
  <si>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</si>
  <si>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</si>
  <si>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</si>
  <si>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</si>
  <si>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</si>
  <si>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</si>
  <si>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</si>
  <si>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</si>
  <si>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</si>
  <si>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</si>
  <si>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</si>
  <si>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</si>
  <si>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</si>
  <si>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</si>
  <si>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</si>
  <si>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</si>
  <si>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</si>
  <si>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</si>
  <si>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</si>
  <si>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</si>
  <si>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</si>
  <si>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</si>
  <si>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</si>
  <si>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</si>
  <si>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</si>
  <si>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</si>
  <si>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</si>
  <si>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</si>
  <si>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</si>
  <si>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</si>
  <si>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</si>
  <si>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</si>
  <si>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</si>
  <si>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</si>
  <si>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</si>
  <si>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</si>
  <si>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</si>
  <si>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</si>
  <si>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</si>
  <si>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</si>
  <si>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</si>
  <si>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</si>
  <si>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</si>
  <si>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</si>
  <si>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</si>
  <si>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</si>
  <si>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</si>
  <si>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</si>
  <si>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</si>
  <si>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</si>
  <si>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</si>
  <si>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</si>
  <si>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</si>
  <si>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</si>
  <si>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</si>
  <si>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</si>
  <si>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</si>
  <si>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</si>
  <si>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</si>
  <si>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</si>
  <si>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</si>
  <si>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</si>
  <si>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</si>
  <si>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</si>
  <si>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</si>
  <si>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</si>
  <si>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</si>
  <si>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</si>
  <si>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</si>
  <si>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</si>
  <si>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</si>
  <si>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</si>
  <si>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</si>
  <si>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</si>
  <si>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</si>
  <si>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</si>
  <si>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</si>
  <si>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</si>
  <si>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</si>
  <si>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</si>
  <si>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</si>
  <si>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</si>
  <si>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</si>
  <si>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</si>
  <si>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</si>
  <si>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</si>
  <si>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</si>
  <si>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</si>
  <si>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</si>
  <si>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</si>
  <si>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</si>
  <si>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</si>
  <si>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</si>
  <si>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</si>
  <si>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</si>
  <si>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</si>
  <si>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</si>
  <si>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</si>
  <si>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</si>
  <si>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</si>
  <si>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</si>
  <si>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</si>
  <si>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</si>
  <si>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</si>
  <si>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</si>
  <si>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</si>
  <si>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</si>
  <si>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</si>
  <si>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</si>
  <si>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</si>
  <si>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</si>
  <si>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</si>
  <si>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</si>
  <si>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</si>
  <si>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</si>
  <si>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</si>
  <si>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</si>
  <si>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</si>
  <si>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</si>
  <si>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</si>
  <si>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</si>
  <si>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</si>
  <si>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</si>
  <si>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</si>
  <si>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</si>
  <si>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</si>
  <si>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</si>
  <si>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</si>
  <si>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</si>
  <si>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</si>
  <si>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</si>
  <si>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</si>
  <si>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</si>
  <si>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</si>
  <si>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</si>
  <si>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</si>
  <si>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</si>
  <si>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</si>
  <si>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</si>
  <si>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</si>
  <si>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</si>
  <si>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</si>
  <si>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</si>
  <si>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</si>
  <si>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</si>
  <si>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</si>
  <si>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</si>
  <si>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</si>
  <si>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</si>
  <si>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</si>
  <si>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</si>
  <si>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</si>
  <si>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</si>
  <si>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</si>
  <si>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</si>
  <si>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</si>
  <si>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</si>
  <si>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</si>
  <si>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</si>
  <si>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</si>
  <si>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</si>
  <si>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</si>
  <si>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</si>
  <si>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</si>
  <si>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</si>
  <si>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</si>
  <si>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</si>
  <si>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</si>
  <si>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</si>
  <si>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</si>
  <si>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</si>
  <si>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</si>
  <si>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</si>
  <si>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</si>
  <si>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</si>
  <si>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</si>
  <si>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</si>
  <si>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</si>
  <si>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</si>
  <si>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</si>
  <si>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</si>
  <si>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</si>
  <si>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</si>
  <si>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</si>
  <si>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</si>
  <si>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</si>
  <si>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</si>
  <si>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</si>
  <si>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</si>
  <si>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</si>
  <si>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</si>
  <si>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</si>
  <si>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</si>
  <si>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</si>
  <si>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</si>
  <si>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</si>
  <si>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</si>
  <si>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</si>
  <si>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</si>
  <si>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</si>
  <si>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</si>
  <si>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</si>
  <si>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</si>
  <si>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</si>
  <si>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</si>
  <si>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</si>
  <si>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</si>
  <si>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</si>
  <si>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</si>
  <si>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</si>
  <si>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</si>
  <si>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</si>
  <si>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</si>
  <si>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</si>
  <si>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</si>
  <si>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</si>
  <si>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</si>
  <si>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</si>
  <si>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</si>
  <si>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</si>
  <si>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</si>
  <si>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</si>
  <si>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</si>
  <si>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</si>
  <si>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</si>
  <si>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</si>
  <si>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</si>
  <si>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</si>
  <si>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</si>
  <si>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</si>
  <si>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</si>
  <si>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</si>
  <si>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</si>
  <si>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</si>
  <si>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</si>
  <si>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</si>
  <si>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</si>
  <si>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</si>
  <si>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</si>
  <si>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</si>
  <si>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</si>
  <si>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</si>
  <si>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</si>
  <si>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</si>
  <si>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</si>
  <si>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</si>
  <si>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</si>
  <si>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</si>
  <si>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</si>
  <si>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</si>
  <si>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</si>
  <si>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</si>
  <si>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</si>
  <si>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</si>
  <si>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</si>
  <si>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</si>
  <si>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</si>
  <si>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</si>
  <si>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</si>
  <si>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</si>
  <si>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</si>
  <si>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</si>
  <si>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</si>
  <si>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</si>
  <si>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</si>
  <si>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</si>
  <si>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</si>
  <si>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</si>
  <si>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</si>
  <si>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</si>
  <si>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</si>
  <si>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</si>
  <si>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</si>
  <si>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</si>
  <si>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</si>
  <si>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</si>
  <si>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</si>
  <si>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</si>
  <si>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</si>
  <si>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</si>
  <si>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</si>
  <si>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</si>
  <si>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</si>
  <si>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</si>
  <si>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</si>
  <si>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</si>
  <si>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</si>
  <si>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</si>
  <si>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</si>
  <si>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</si>
  <si>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</si>
  <si>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</si>
  <si>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</si>
  <si>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</si>
  <si>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</si>
  <si>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</si>
  <si>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</si>
  <si>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</si>
  <si>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</si>
  <si>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</si>
  <si>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</si>
  <si>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</si>
  <si>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</si>
  <si>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</si>
  <si>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</si>
  <si>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</si>
  <si>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</si>
  <si>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</si>
  <si>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</si>
  <si>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</si>
  <si>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</si>
  <si>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</si>
  <si>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</si>
  <si>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</si>
  <si>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</si>
  <si>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</si>
  <si>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</si>
  <si>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</si>
  <si>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</si>
  <si>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</si>
  <si>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</si>
  <si>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</si>
  <si>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</si>
  <si>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</si>
  <si>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</si>
  <si>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</si>
  <si>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</si>
  <si>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</si>
  <si>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</si>
  <si>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</si>
  <si>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</si>
  <si>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</si>
  <si>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</si>
  <si>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</si>
  <si>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</si>
  <si>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</si>
  <si>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</si>
  <si>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</si>
  <si>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</si>
  <si>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</si>
  <si>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</si>
  <si>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</si>
  <si>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</si>
  <si>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</si>
  <si>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</si>
  <si>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</si>
  <si>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</si>
  <si>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</si>
  <si>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</si>
  <si>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</si>
  <si>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</si>
  <si>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</si>
  <si>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</si>
  <si>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</si>
  <si>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</si>
  <si>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</si>
  <si>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</si>
  <si>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</si>
  <si>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</si>
  <si>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</si>
  <si>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</si>
  <si>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</si>
  <si>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</si>
  <si>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</si>
  <si>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</si>
  <si>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</si>
  <si>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</si>
  <si>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</si>
  <si>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</si>
  <si>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</si>
  <si>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</si>
  <si>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</si>
  <si>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</si>
  <si>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</si>
  <si>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</si>
  <si>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</si>
  <si>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</si>
  <si>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</si>
  <si>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</si>
  <si>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</si>
  <si>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</si>
  <si>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</si>
  <si>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</si>
  <si>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</si>
  <si>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</si>
  <si>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</si>
  <si>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</si>
  <si>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</si>
  <si>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</si>
  <si>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</si>
  <si>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</si>
  <si>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</si>
  <si>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</si>
  <si>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</si>
  <si>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</si>
  <si>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</si>
  <si>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</si>
  <si>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</si>
  <si>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</si>
  <si>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</si>
  <si>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</si>
  <si>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</si>
  <si>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</si>
  <si>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</si>
  <si>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</si>
  <si>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</si>
  <si>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</si>
  <si>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</si>
  <si>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</si>
  <si>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</si>
  <si>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</si>
  <si>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</si>
  <si>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</si>
  <si>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</si>
  <si>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</si>
  <si>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</si>
  <si>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</si>
  <si>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</si>
  <si>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</si>
  <si>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</si>
  <si>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</si>
  <si>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</si>
  <si>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</si>
  <si>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</si>
  <si>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</si>
  <si>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</si>
  <si>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</si>
  <si>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</si>
  <si>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</si>
  <si>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</si>
  <si>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</si>
  <si>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</si>
  <si>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</si>
  <si>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</si>
  <si>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</si>
  <si>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</si>
  <si>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</si>
  <si>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</si>
  <si>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</si>
  <si>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</si>
  <si>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</si>
  <si>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</si>
  <si>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</si>
  <si>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</si>
  <si>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</si>
  <si>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</si>
  <si>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</si>
  <si>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</si>
  <si>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</si>
  <si>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</si>
  <si>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</si>
  <si>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</si>
  <si>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</si>
  <si>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</si>
  <si>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</si>
  <si>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</si>
  <si>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</si>
  <si>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</si>
  <si>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</si>
  <si>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</si>
  <si>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</si>
  <si>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</si>
  <si>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</si>
  <si>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</si>
  <si>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</si>
  <si>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</si>
  <si>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</si>
  <si>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</si>
  <si>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</si>
  <si>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</si>
  <si>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</si>
  <si>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</si>
  <si>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</si>
  <si>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</si>
  <si>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</si>
  <si>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</si>
  <si>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</si>
  <si>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</si>
  <si>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</si>
  <si>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</si>
  <si>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</si>
  <si>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</si>
  <si>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</si>
  <si>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</si>
  <si>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</si>
  <si>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</si>
  <si>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</si>
  <si>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</si>
  <si>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</si>
  <si>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</si>
  <si>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</si>
  <si>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</si>
  <si>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</si>
  <si>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</si>
  <si>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</si>
  <si>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</si>
  <si>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</si>
  <si>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</si>
  <si>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</si>
  <si>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</si>
  <si>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</si>
  <si>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</si>
  <si>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</si>
  <si>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</si>
  <si>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</si>
  <si>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</si>
  <si>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</si>
  <si>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</si>
  <si>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</si>
  <si>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</si>
  <si>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</si>
  <si>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</si>
  <si>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</si>
  <si>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</si>
  <si>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</si>
  <si>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</si>
  <si>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</si>
  <si>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</si>
  <si>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</si>
  <si>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</si>
  <si>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</si>
  <si>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</si>
  <si>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</si>
  <si>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</si>
  <si>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</si>
  <si>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</si>
  <si>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</si>
  <si>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</si>
  <si>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</si>
  <si>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</si>
  <si>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</si>
  <si>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</si>
  <si>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</si>
  <si>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</si>
  <si>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</si>
  <si>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</si>
  <si>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</si>
  <si>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</si>
  <si>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</si>
  <si>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</si>
  <si>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</si>
  <si>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</si>
  <si>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</si>
  <si>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</si>
  <si>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</si>
  <si>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</si>
  <si>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</si>
  <si>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</si>
  <si>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</si>
  <si>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</si>
  <si>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</si>
  <si>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</si>
  <si>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</si>
  <si>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</si>
  <si>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</si>
  <si>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</si>
  <si>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</si>
  <si>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</si>
  <si>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</si>
  <si>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</si>
  <si>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</si>
  <si>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</si>
  <si>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</si>
  <si>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</si>
  <si>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</si>
  <si>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</si>
  <si>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</si>
  <si>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</si>
  <si>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</si>
  <si>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</si>
  <si>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</si>
  <si>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</si>
  <si>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</si>
  <si>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</si>
  <si>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</si>
  <si>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</si>
  <si>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</si>
  <si>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</si>
  <si>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</si>
  <si>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</si>
  <si>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</si>
  <si>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</si>
  <si>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</si>
  <si>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</si>
  <si>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</si>
  <si>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</si>
  <si>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</si>
  <si>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</si>
  <si>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</si>
  <si>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</si>
  <si>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</si>
  <si>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</si>
  <si>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</si>
  <si>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</si>
  <si>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</si>
  <si>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</si>
  <si>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</si>
  <si>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</si>
  <si>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</si>
  <si>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</si>
  <si>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</si>
  <si>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</si>
  <si>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</si>
  <si>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</si>
  <si>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</si>
  <si>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</si>
  <si>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</si>
  <si>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</si>
  <si>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</si>
  <si>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</si>
  <si>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</si>
  <si>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</si>
  <si>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</si>
  <si>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</si>
  <si>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</si>
  <si>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</si>
  <si>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</si>
  <si>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</si>
  <si>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</si>
  <si>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</si>
  <si>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</si>
  <si>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</si>
  <si>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</si>
  <si>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</si>
  <si>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</si>
  <si>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</si>
  <si>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</si>
  <si>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</si>
  <si>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</si>
  <si>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</si>
  <si>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</si>
  <si>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</si>
  <si>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</si>
  <si>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</si>
  <si>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</si>
  <si>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</si>
  <si>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</si>
  <si>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</si>
  <si>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</si>
  <si>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</si>
  <si>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</si>
  <si>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</si>
  <si>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</si>
  <si>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</si>
  <si>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</si>
  <si>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</si>
  <si>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</si>
  <si>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</si>
  <si>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</si>
  <si>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</si>
  <si>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</si>
  <si>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</si>
  <si>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</si>
  <si>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</si>
  <si>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</si>
  <si>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</si>
  <si>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</si>
  <si>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</si>
  <si>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</si>
  <si>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</si>
  <si>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</si>
  <si>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</si>
  <si>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</si>
  <si>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</si>
  <si>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</si>
  <si>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</si>
  <si>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</si>
  <si>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</si>
  <si>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</si>
  <si>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</si>
  <si>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</si>
  <si>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</si>
  <si>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</si>
  <si>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</si>
  <si>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</si>
  <si>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</si>
  <si>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</si>
  <si>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</si>
  <si>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</si>
  <si>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</si>
  <si>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</si>
  <si>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</si>
  <si>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</si>
  <si>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</si>
  <si>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</si>
  <si>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</si>
  <si>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</si>
  <si>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</si>
  <si>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</si>
  <si>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</si>
  <si>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</si>
  <si>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</si>
  <si>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</si>
  <si>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</si>
  <si>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</si>
  <si>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</si>
  <si>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</si>
  <si>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</si>
  <si>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</si>
  <si>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</si>
  <si>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</si>
  <si>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</si>
  <si>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</si>
  <si>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</si>
  <si>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</si>
  <si>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</si>
  <si>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</si>
  <si>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</si>
  <si>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</si>
  <si>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</si>
  <si>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</si>
  <si>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</si>
  <si>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</si>
  <si>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</si>
  <si>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</si>
  <si>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</si>
  <si>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</si>
  <si>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</si>
  <si>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</si>
  <si>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</si>
  <si>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</si>
  <si>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</si>
  <si>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</si>
  <si>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</si>
  <si>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</si>
  <si>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</si>
  <si>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</si>
  <si>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</si>
  <si>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</si>
  <si>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</si>
  <si>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</si>
  <si>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</si>
  <si>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</si>
  <si>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</si>
  <si>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</si>
  <si>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</si>
  <si>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</si>
  <si>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</si>
  <si>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</si>
  <si>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</si>
  <si>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</si>
  <si>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</si>
  <si>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</si>
  <si>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</si>
  <si>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</si>
  <si>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</si>
  <si>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</si>
  <si>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</si>
  <si>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</si>
  <si>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</si>
  <si>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</si>
  <si>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</si>
  <si>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</si>
  <si>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</si>
  <si>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</si>
  <si>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</si>
  <si>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</si>
  <si>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</si>
  <si>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</si>
  <si>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</si>
  <si>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</si>
  <si>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</si>
  <si>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</si>
  <si>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</si>
  <si>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</si>
  <si>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</si>
  <si>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</si>
  <si>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</si>
  <si>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</si>
  <si>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</si>
  <si>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</si>
  <si>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</si>
  <si>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</si>
  <si>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</si>
  <si>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</si>
  <si>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</si>
  <si>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</si>
  <si>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</si>
  <si>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</si>
  <si>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</si>
  <si>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</si>
  <si>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</si>
  <si>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</si>
  <si>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</si>
  <si>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</si>
  <si>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</si>
  <si>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</si>
  <si>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</si>
  <si>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</si>
  <si>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</si>
  <si>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</si>
  <si>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</si>
  <si>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</si>
  <si>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</si>
  <si>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</si>
  <si>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</si>
  <si>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</si>
  <si>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</si>
  <si>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</si>
  <si>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</si>
  <si>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</si>
  <si>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</si>
  <si>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</si>
  <si>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</si>
  <si>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</si>
  <si>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</si>
  <si>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</si>
  <si>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</si>
  <si>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</si>
  <si>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</si>
  <si>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</si>
  <si>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</si>
  <si>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</si>
  <si>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</si>
  <si>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</si>
  <si>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</si>
  <si>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</si>
  <si>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</si>
  <si>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</si>
  <si>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</si>
  <si>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</si>
  <si>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</si>
  <si>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</si>
  <si>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</si>
  <si>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</si>
  <si>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</si>
  <si>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</si>
  <si>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</si>
  <si>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</si>
  <si>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</si>
  <si>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</si>
  <si>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</si>
  <si>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</si>
  <si>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</si>
  <si>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</si>
  <si>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</si>
  <si>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</si>
  <si>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</si>
  <si>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</si>
  <si>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</si>
  <si>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</si>
  <si>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</si>
  <si>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</si>
  <si>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</si>
  <si>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</si>
  <si>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</si>
  <si>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</si>
  <si>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</si>
  <si>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</si>
  <si>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</si>
  <si>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</si>
  <si>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</si>
  <si>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</si>
  <si>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</si>
  <si>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</si>
  <si>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</si>
  <si>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</si>
  <si>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</si>
  <si>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</si>
  <si>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</si>
  <si>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</si>
  <si>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</si>
  <si>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</si>
  <si>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</si>
  <si>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</si>
  <si>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</si>
  <si>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</si>
  <si>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</si>
  <si>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</si>
  <si>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</si>
  <si>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</si>
  <si>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</si>
  <si>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</si>
  <si>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</si>
  <si>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</si>
  <si>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</si>
  <si>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</si>
  <si>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</si>
  <si>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</si>
  <si>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</si>
  <si>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</si>
  <si>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</si>
  <si>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</si>
  <si>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</si>
  <si>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</si>
  <si>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</si>
  <si>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</si>
  <si>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</si>
  <si>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</si>
  <si>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</si>
  <si>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</si>
  <si>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</si>
  <si>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</si>
  <si>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</si>
  <si>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</si>
  <si>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</si>
  <si>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</si>
  <si>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</si>
  <si>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</si>
  <si>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</si>
  <si>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</si>
  <si>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</si>
  <si>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</si>
  <si>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</si>
  <si>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</si>
  <si>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</si>
  <si>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</si>
  <si>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</si>
  <si>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</si>
  <si>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</si>
  <si>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</si>
  <si>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</si>
  <si>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</si>
  <si>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</si>
  <si>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</si>
  <si>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</si>
  <si>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</si>
  <si>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</si>
  <si>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</si>
  <si>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</si>
  <si>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</si>
  <si>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</si>
  <si>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</si>
  <si>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</si>
  <si>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</si>
  <si>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</si>
  <si>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</si>
  <si>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</si>
  <si>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</si>
  <si>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</si>
  <si>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</si>
  <si>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</si>
  <si>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</si>
  <si>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</si>
  <si>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</si>
  <si>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</si>
  <si>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</si>
  <si>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</si>
  <si>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</si>
  <si>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</si>
  <si>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</si>
  <si>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</si>
  <si>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</si>
  <si>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</si>
  <si>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</si>
  <si>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</si>
  <si>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</si>
  <si>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</si>
  <si>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</si>
  <si>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</si>
  <si>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</si>
  <si>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</si>
  <si>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</si>
  <si>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</si>
  <si>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</si>
  <si>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</si>
  <si>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</si>
  <si>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</si>
  <si>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</si>
  <si>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</si>
  <si>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</si>
  <si>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</si>
  <si>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</si>
  <si>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</si>
  <si>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</si>
  <si>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</si>
  <si>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</si>
  <si>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</si>
  <si>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</si>
  <si>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</si>
  <si>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</si>
  <si>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</si>
  <si>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</si>
  <si>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</si>
  <si>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</si>
  <si>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</si>
  <si>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</si>
  <si>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</si>
  <si>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</si>
  <si>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</si>
  <si>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</si>
  <si>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</si>
  <si>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</si>
  <si>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</si>
  <si>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</si>
  <si>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</si>
  <si>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</si>
  <si>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</si>
  <si>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</si>
  <si>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</si>
  <si>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</si>
  <si>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</si>
  <si>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</si>
  <si>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</si>
  <si>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</si>
  <si>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</si>
  <si>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</si>
  <si>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</si>
  <si>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</si>
  <si>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</si>
  <si>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</si>
  <si>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</si>
  <si>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</si>
  <si>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</si>
  <si>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</si>
  <si>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</si>
  <si>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</si>
  <si>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</si>
  <si>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</si>
  <si>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</si>
  <si>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</si>
  <si>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</si>
  <si>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</si>
  <si>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</si>
  <si>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</si>
  <si>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</si>
  <si>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</si>
  <si>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</si>
  <si>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</si>
  <si>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</si>
  <si>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</si>
  <si>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</si>
  <si>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</si>
  <si>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</si>
  <si>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</si>
  <si>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</si>
  <si>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</si>
  <si>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</si>
  <si>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</si>
  <si>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</si>
  <si>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</si>
  <si>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</si>
  <si>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</si>
  <si>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</si>
  <si>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</si>
  <si>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</si>
  <si>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</si>
  <si>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</si>
  <si>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</si>
  <si>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</si>
  <si>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</si>
  <si>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</si>
  <si>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</si>
  <si>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</si>
  <si>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</si>
  <si>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</si>
  <si>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</si>
  <si>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</si>
  <si>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</si>
  <si>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</si>
  <si>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</si>
  <si>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</si>
  <si>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</si>
  <si>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</si>
  <si>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</si>
  <si>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</si>
  <si>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</si>
  <si>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</si>
  <si>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</si>
  <si>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</si>
  <si>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</si>
  <si>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</si>
  <si>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</si>
  <si>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</si>
  <si>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</si>
  <si>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</si>
  <si>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</si>
  <si>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</si>
  <si>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</si>
  <si>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</si>
  <si>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</si>
  <si>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</si>
  <si>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</si>
  <si>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</si>
  <si>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</si>
  <si>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</si>
  <si>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</si>
  <si>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</si>
  <si>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</si>
  <si>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</si>
  <si>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</si>
  <si>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</si>
  <si>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</si>
  <si>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</si>
  <si>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</si>
  <si>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</si>
  <si>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</si>
  <si>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</si>
  <si>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</si>
  <si>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</si>
  <si>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</si>
  <si>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</si>
  <si>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</si>
  <si>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</si>
  <si>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</si>
  <si>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</si>
  <si>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</si>
  <si>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 xml:space="preserve">                                    </t>
  </si>
  <si>
    <t>Month</t>
  </si>
  <si>
    <t>Sales Level</t>
  </si>
  <si>
    <t>Net per Unit</t>
  </si>
  <si>
    <t>Row Labels</t>
  </si>
  <si>
    <t>Grand Total</t>
  </si>
  <si>
    <t>Sum of TotalSales</t>
  </si>
  <si>
    <t>Region - wise total Sales</t>
  </si>
  <si>
    <t>Category -wise Sales</t>
  </si>
  <si>
    <t>Month trend</t>
  </si>
  <si>
    <t>Jan</t>
  </si>
  <si>
    <t>Apr</t>
  </si>
  <si>
    <t>Aug</t>
  </si>
  <si>
    <t>Dec</t>
  </si>
  <si>
    <t>Feb</t>
  </si>
  <si>
    <t>Jul</t>
  </si>
  <si>
    <t>Jun</t>
  </si>
  <si>
    <t>Mar</t>
  </si>
  <si>
    <t>May</t>
  </si>
  <si>
    <t>Nov</t>
  </si>
  <si>
    <t>Oct</t>
  </si>
  <si>
    <t>Sep</t>
  </si>
  <si>
    <t>Top Sales  Reps</t>
  </si>
  <si>
    <t>Payment mode</t>
  </si>
  <si>
    <t>Sales  Analysis DeshBoard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</si>
</sst>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 #,##0.00;&quot;₹&quot;\ \-#,##0.00"/>
    <numFmt numFmtId="164" formatCode="&quot;₹&quot;\ #,##0.00"/>
  </numFmts>
  <fonts count="4" x14ac:knownFonts="1">
    <font>
      <sz val="11"/>
      <color theme="1"/>
      <name val="Aptos Narrow"/>
      <family val="2"/>
      <scheme val="minor"/>
    </font>
    <font>
      <sz val="11"/>
      <color theme="1"/>
      <name val="Aptos Narrow"/>
      <family val="2"/>
      <scheme val="minor"/>
    </font>
    <font>
      <b/>
      <sz val="15"/>
      <color theme="3"/>
      <name val="Aptos Narrow"/>
      <family val="2"/>
      <scheme val="minor"/>
    </font>
    <font>
      <sz val="22"/>
      <color theme="1"/>
      <name val="Aptos Narrow"/>
      <family val="2"/>
      <scheme val="minor"/>
    </font>
  </fonts>
  <fills count="4">
    <fill>
      <patternFill patternType="none"/>
    </fill>
    <fill>
      <patternFill patternType="gray125"/>
    </fill>
    <fill>
      <patternFill patternType="solid">
        <fgColor rgb="FFF2F2F2"/>
      </patternFill>
    </fill>
    <fill>
      <patternFill patternType="solid">
        <fgColor rgb="FFFFC000"/>
        <bgColor indexed="64"/>
      </patternFill>
    </fill>
  </fills>
  <borders count="2">
    <border>
      <left/>
      <right/>
      <top/>
      <bottom/>
      <diagonal/>
    </border>
    <border>
      <left/>
      <right/>
      <top/>
      <bottom style="thick">
        <color theme="4"/>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12">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2" fillId="0" borderId="1" xfId="2"/>
    <xf numFmtId="7" fontId="0" fillId="0" borderId="0" xfId="0" applyNumberFormat="1"/>
    <xf numFmtId="164" fontId="0" fillId="0" borderId="0" xfId="0" applyNumberFormat="1"/>
    <xf numFmtId="0" fontId="3" fillId="3" borderId="0" xfId="0" applyFont="1" applyFill="1" applyAlignment="1">
      <alignment horizontal="center"/>
    </xf>
    <xf numFmtId="0" fontId="2" fillId="2" borderId="1" xfId="2" applyFill="1" applyAlignment="1">
      <alignment horizontal="center" vertical="top"/>
    </xf>
    <xf numFmtId="0" fontId="2" fillId="0" borderId="1" xfId="2" applyAlignment="1">
      <alignment horizontal="center"/>
    </xf>
    <xf numFmtId="0" fontId="0" fillId="0" borderId="0" xfId="0" applyNumberFormat="1"/>
  </cellXfs>
  <cellStyles count="3">
    <cellStyle name="Heading 1" xfId="2" builtinId="16"/>
    <cellStyle name="Normal" xfId="0" builtinId="0"/>
    <cellStyle name="Percent" xfId="1" builtinId="5"/>
  </cellStyles>
  <dxfs count="6">
    <dxf>
      <numFmt numFmtId="0" formatCode="General"/>
    </dxf>
    <dxf>
      <numFmt numFmtId="0" formatCode="General"/>
    </dxf>
    <dxf>
      <numFmt numFmtId="0" formatCode="General"/>
    </dxf>
    <dxf>
      <numFmt numFmtId="19" formatCode="dd/mm/yyyy"/>
    </dxf>
    <dxf>
      <numFmt numFmtId="164" formatCode="&quot;₹&quot;\ #,##0.00"/>
    </dxf>
    <dxf>
      <numFmt numFmtId="11" formatCode="&quot;₹&quot;\ #,##0.00;&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4293437844304386E-2"/>
              <c:y val="2.5265764852417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6031570248005896E-2"/>
              <c:y val="-3.0167207369000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6939660336439707E-2"/>
              <c:y val="-3.1480100223039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1168477325629773E-2"/>
              <c:y val="-3.0934449497436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1.1168477325629773E-2"/>
                  <c:y val="-3.0934449497436491E-2"/>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5.6031570248005896E-2"/>
                  <c:y val="-3.0167207369000377E-2"/>
                </c:manualLayout>
              </c:layout>
              <c:showLegendKey val="0"/>
              <c:showVal val="0"/>
              <c:showCatName val="0"/>
              <c:showSerName val="0"/>
              <c:showPercent val="1"/>
              <c:showBubbleSize val="0"/>
              <c:extLst>
                <c:ext xmlns:c15="http://schemas.microsoft.com/office/drawing/2012/chart" uri="{CE6537A1-D6FC-4f65-9D91-7224C49458BB}"/>
              </c:extLst>
            </c:dLbl>
            <c:dLbl>
              <c:idx val="2"/>
              <c:layout>
                <c:manualLayout>
                  <c:x val="-2.6939660336439707E-2"/>
                  <c:y val="-3.1480100223039716E-2"/>
                </c:manualLayout>
              </c:layout>
              <c:showLegendKey val="0"/>
              <c:showVal val="0"/>
              <c:showCatName val="0"/>
              <c:showSerName val="0"/>
              <c:showPercent val="1"/>
              <c:showBubbleSize val="0"/>
              <c:extLst>
                <c:ext xmlns:c15="http://schemas.microsoft.com/office/drawing/2012/chart" uri="{CE6537A1-D6FC-4f65-9D91-7224C49458BB}"/>
              </c:extLst>
            </c:dLbl>
            <c:dLbl>
              <c:idx val="3"/>
              <c:layout>
                <c:manualLayout>
                  <c:x val="-1.4293437844304386E-2"/>
                  <c:y val="2.5265764852417189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Sheet3!$D$4:$D$8</c:f>
              <c:strCache>
                <c:ptCount val="4"/>
                <c:pt idx="0">
                  <c:v>Clothing</c:v>
                </c:pt>
                <c:pt idx="1">
                  <c:v>Electronics</c:v>
                </c:pt>
                <c:pt idx="2">
                  <c:v>Furniture</c:v>
                </c:pt>
                <c:pt idx="3">
                  <c:v>Grocery</c:v>
                </c:pt>
              </c:strCache>
            </c:strRef>
          </c:cat>
          <c:val>
            <c:numRef>
              <c:f>Sheet3!$E$4:$E$8</c:f>
              <c:numCache>
                <c:formatCode>General</c:formatCode>
                <c:ptCount val="4"/>
                <c:pt idx="0">
                  <c:v>60880334.075500056</c:v>
                </c:pt>
                <c:pt idx="1">
                  <c:v>57333152.073000021</c:v>
                </c:pt>
                <c:pt idx="2">
                  <c:v>60095257.882000007</c:v>
                </c:pt>
                <c:pt idx="3">
                  <c:v>66093898.448999979</c:v>
                </c:pt>
              </c:numCache>
            </c:numRef>
          </c:val>
          <c:extLst>
            <c:ext xmlns:c16="http://schemas.microsoft.com/office/drawing/2014/chart" uri="{C3380CC4-5D6E-409C-BE32-E72D297353CC}">
              <c16:uniqueId val="{0000000A-C9B8-40E7-8892-C1D1D9A76AB8}"/>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35946747014755"/>
          <c:y val="0.16290372912536405"/>
          <c:w val="0.68092361974181936"/>
          <c:h val="0.7327445939020083"/>
        </c:manualLayout>
      </c:layout>
      <c:lineChart>
        <c:grouping val="standard"/>
        <c:varyColors val="0"/>
        <c:ser>
          <c:idx val="0"/>
          <c:order val="0"/>
          <c:tx>
            <c:strRef>
              <c:f>Sheet3!$H$3</c:f>
              <c:strCache>
                <c:ptCount val="1"/>
                <c:pt idx="0">
                  <c:v>Total</c:v>
                </c:pt>
              </c:strCache>
            </c:strRef>
          </c:tx>
          <c:spPr>
            <a:ln w="28575" cap="rnd">
              <a:solidFill>
                <a:schemeClr val="accent2"/>
              </a:solidFill>
              <a:round/>
            </a:ln>
            <a:effectLst/>
          </c:spPr>
          <c:marker>
            <c:symbol val="none"/>
          </c:marker>
          <c:cat>
            <c:strRef>
              <c:f>Sheet3!$G$4:$G$16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Sheet3!$H$4:$H$16</c:f>
              <c:numCache>
                <c:formatCode>"₹"#,##0.00_);\("₹"#,##0.00\)</c:formatCode>
                <c:ptCount val="12"/>
                <c:pt idx="0">
                  <c:v>19619674.1065</c:v>
                </c:pt>
                <c:pt idx="1">
                  <c:v>19688604.207500011</c:v>
                </c:pt>
                <c:pt idx="2">
                  <c:v>16899862.18</c:v>
                </c:pt>
                <c:pt idx="3">
                  <c:v>18521674.565499999</c:v>
                </c:pt>
                <c:pt idx="4">
                  <c:v>17544729.805000007</c:v>
                </c:pt>
                <c:pt idx="5">
                  <c:v>20615676.186000008</c:v>
                </c:pt>
                <c:pt idx="6">
                  <c:v>19220578.413000003</c:v>
                </c:pt>
                <c:pt idx="7">
                  <c:v>22357124.889999997</c:v>
                </c:pt>
                <c:pt idx="8">
                  <c:v>17844125.459999997</c:v>
                </c:pt>
                <c:pt idx="9">
                  <c:v>24036161.916999999</c:v>
                </c:pt>
                <c:pt idx="10">
                  <c:v>26425224.080000013</c:v>
                </c:pt>
                <c:pt idx="11">
                  <c:v>21629206.669000003</c:v>
                </c:pt>
              </c:numCache>
            </c:numRef>
          </c:val>
          <c:smooth val="0"/>
          <c:extLst>
            <c:ext xmlns:c16="http://schemas.microsoft.com/office/drawing/2014/chart" uri="{C3380CC4-5D6E-409C-BE32-E72D297353CC}">
              <c16:uniqueId val="{00000000-3369-4A85-AD97-6BE3369EC12B}"/>
            </c:ext>
          </c:extLst>
        </c:ser>
        <c:dLbls>
          <c:showLegendKey val="0"/>
          <c:showVal val="0"/>
          <c:showCatName val="0"/>
          <c:showSerName val="0"/>
          <c:showPercent val="0"/>
          <c:showBubbleSize val="0"/>
        </c:dLbls>
        <c:smooth val="0"/>
        <c:axId val="1311764639"/>
        <c:axId val="1248105839"/>
      </c:lineChart>
      <c:catAx>
        <c:axId val="131176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05839"/>
        <c:crosses val="autoZero"/>
        <c:auto val="1"/>
        <c:lblAlgn val="ctr"/>
        <c:lblOffset val="100"/>
        <c:noMultiLvlLbl val="0"/>
      </c:catAx>
      <c:valAx>
        <c:axId val="1248105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6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27999224061563E-2"/>
          <c:y val="0.26820900101066997"/>
          <c:w val="0.88039602463994038"/>
          <c:h val="0.67163901229782041"/>
        </c:manualLayout>
      </c:layout>
      <c:barChart>
        <c:barDir val="bar"/>
        <c:grouping val="clustered"/>
        <c:varyColors val="0"/>
        <c:ser>
          <c:idx val="0"/>
          <c:order val="0"/>
          <c:tx>
            <c:strRef>
              <c:f>Sheet3!$K$3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Sheet3!$J$4:$J$12</c:f>
              <c:strCache>
                <c:ptCount val="8"/>
                <c:pt idx="0">
                  <c:v>Vikas</c:v>
                </c:pt>
                <c:pt idx="1">
                  <c:v>Priya</c:v>
                </c:pt>
                <c:pt idx="2">
                  <c:v>Arjun</c:v>
                </c:pt>
                <c:pt idx="3">
                  <c:v>Neha</c:v>
                </c:pt>
                <c:pt idx="4">
                  <c:v>Pooja</c:v>
                </c:pt>
                <c:pt idx="5">
                  <c:v>Rahul</c:v>
                </c:pt>
                <c:pt idx="6">
                  <c:v>Amit</c:v>
                </c:pt>
                <c:pt idx="7">
                  <c:v>Sneha</c:v>
                </c:pt>
              </c:strCache>
            </c:strRef>
          </c:cat>
          <c:val>
            <c:numRef>
              <c:f>Sheet3!$K$4:$K$12</c:f>
              <c:numCache>
                <c:formatCode>General</c:formatCode>
                <c:ptCount val="8"/>
                <c:pt idx="0">
                  <c:v>33853555.794500031</c:v>
                </c:pt>
                <c:pt idx="1">
                  <c:v>32364815.5075</c:v>
                </c:pt>
                <c:pt idx="2">
                  <c:v>31150715.657999996</c:v>
                </c:pt>
                <c:pt idx="3">
                  <c:v>30615193.31299999</c:v>
                </c:pt>
                <c:pt idx="4">
                  <c:v>30060437.42600001</c:v>
                </c:pt>
                <c:pt idx="5">
                  <c:v>29818760.789000001</c:v>
                </c:pt>
                <c:pt idx="6">
                  <c:v>29464360.583000012</c:v>
                </c:pt>
                <c:pt idx="7">
                  <c:v>27074803.408499997</c:v>
                </c:pt>
              </c:numCache>
            </c:numRef>
          </c:val>
          <c:extLst>
            <c:ext xmlns:c16="http://schemas.microsoft.com/office/drawing/2014/chart" uri="{C3380CC4-5D6E-409C-BE32-E72D297353CC}">
              <c16:uniqueId val="{00000000-3CFE-4446-BD0A-D0C65949C013}"/>
            </c:ext>
          </c:extLst>
        </c:ser>
        <c:dLbls>
          <c:showLegendKey val="0"/>
          <c:showVal val="1"/>
          <c:showCatName val="0"/>
          <c:showSerName val="0"/>
          <c:showPercent val="0"/>
          <c:showBubbleSize val="0"/>
        </c:dLbls>
        <c:gapWidth val="150"/>
        <c:overlap val="-25"/>
        <c:axId val="1601416495"/>
        <c:axId val="1248055439"/>
      </c:barChart>
      <c:catAx>
        <c:axId val="160141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55439"/>
        <c:crosses val="autoZero"/>
        <c:auto val="1"/>
        <c:lblAlgn val="ctr"/>
        <c:lblOffset val="100"/>
        <c:noMultiLvlLbl val="0"/>
      </c:catAx>
      <c:valAx>
        <c:axId val="1248055439"/>
        <c:scaling>
          <c:orientation val="minMax"/>
        </c:scaling>
        <c:delete val="1"/>
        <c:axPos val="b"/>
        <c:numFmt formatCode="General" sourceLinked="1"/>
        <c:majorTickMark val="none"/>
        <c:minorTickMark val="none"/>
        <c:tickLblPos val="nextTo"/>
        <c:crossAx val="1601416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53716987.960000016</c:v>
                </c:pt>
                <c:pt idx="1">
                  <c:v>66715182.850499973</c:v>
                </c:pt>
                <c:pt idx="2">
                  <c:v>69639880.544000015</c:v>
                </c:pt>
                <c:pt idx="3">
                  <c:v>54330591.125000045</c:v>
                </c:pt>
              </c:numCache>
            </c:numRef>
          </c:val>
          <c:extLst>
            <c:ext xmlns:c16="http://schemas.microsoft.com/office/drawing/2014/chart" uri="{C3380CC4-5D6E-409C-BE32-E72D297353CC}">
              <c16:uniqueId val="{00000000-2521-4680-A12A-2AEB530A9F12}"/>
            </c:ext>
          </c:extLst>
        </c:ser>
        <c:dLbls>
          <c:showLegendKey val="0"/>
          <c:showVal val="1"/>
          <c:showCatName val="0"/>
          <c:showSerName val="0"/>
          <c:showPercent val="0"/>
          <c:showBubbleSize val="0"/>
        </c:dLbls>
        <c:gapWidth val="75"/>
        <c:axId val="1441737103"/>
        <c:axId val="1137026191"/>
      </c:barChart>
      <c:catAx>
        <c:axId val="144173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26191"/>
        <c:crosses val="autoZero"/>
        <c:auto val="1"/>
        <c:lblAlgn val="ctr"/>
        <c:lblOffset val="100"/>
        <c:noMultiLvlLbl val="0"/>
      </c:catAx>
      <c:valAx>
        <c:axId val="113702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37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374952</xdr:colOff>
      <xdr:row>18</xdr:row>
      <xdr:rowOff>61349</xdr:rowOff>
    </xdr:from>
    <xdr:to>
      <xdr:col>10</xdr:col>
      <xdr:colOff>512031</xdr:colOff>
      <xdr:row>33</xdr:row>
      <xdr:rowOff>83121</xdr:rowOff>
    </xdr:to>
    <xdr:graphicFrame macro="">
      <xdr:nvGraphicFramePr>
        <xdr:cNvPr id="4" name="Chart 3">
          <a:extLst>
            <a:ext uri="{FF2B5EF4-FFF2-40B4-BE49-F238E27FC236}">
              <a16:creationId xmlns:a16="http://schemas.microsoft.com/office/drawing/2014/main" id="{467C0D71-3526-1278-FB47-7792725CA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1102347</xdr:colOff>
      <xdr:row>18</xdr:row>
      <xdr:rowOff>138624</xdr:rowOff>
    </xdr:from>
    <xdr:to>
      <xdr:col>18</xdr:col>
      <xdr:colOff>342362</xdr:colOff>
      <xdr:row>33</xdr:row>
      <xdr:rowOff>160395</xdr:rowOff>
    </xdr:to>
    <xdr:graphicFrame macro="">
      <xdr:nvGraphicFramePr>
        <xdr:cNvPr id="6" name="Chart 5">
          <a:extLst>
            <a:ext uri="{FF2B5EF4-FFF2-40B4-BE49-F238E27FC236}">
              <a16:creationId xmlns:a16="http://schemas.microsoft.com/office/drawing/2014/main" id="{4006CFA8-4FF7-C540-9E95-E104DFB89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888328</xdr:colOff>
      <xdr:row>37</xdr:row>
      <xdr:rowOff>108218</xdr:rowOff>
    </xdr:from>
    <xdr:to>
      <xdr:col>10</xdr:col>
      <xdr:colOff>852714</xdr:colOff>
      <xdr:row>52</xdr:row>
      <xdr:rowOff>138222</xdr:rowOff>
    </xdr:to>
    <xdr:graphicFrame macro="">
      <xdr:nvGraphicFramePr>
        <xdr:cNvPr id="7" name="Chart 6">
          <a:extLst>
            <a:ext uri="{FF2B5EF4-FFF2-40B4-BE49-F238E27FC236}">
              <a16:creationId xmlns:a16="http://schemas.microsoft.com/office/drawing/2014/main" id="{FD8491DE-671F-9B74-00FA-A5FA9A971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165652</xdr:colOff>
      <xdr:row>18</xdr:row>
      <xdr:rowOff>89878</xdr:rowOff>
    </xdr:from>
    <xdr:to>
      <xdr:col>5</xdr:col>
      <xdr:colOff>123734</xdr:colOff>
      <xdr:row>33</xdr:row>
      <xdr:rowOff>67757</xdr:rowOff>
    </xdr:to>
    <xdr:graphicFrame macro="">
      <xdr:nvGraphicFramePr>
        <xdr:cNvPr id="8" name="Chart 7">
          <a:extLst>
            <a:ext uri="{FF2B5EF4-FFF2-40B4-BE49-F238E27FC236}">
              <a16:creationId xmlns:a16="http://schemas.microsoft.com/office/drawing/2014/main" id="{570A80BE-E4B6-6FED-A6FB-C1F3971E1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352753</xdr:colOff>
      <xdr:row>9</xdr:row>
      <xdr:rowOff>90432</xdr:rowOff>
    </xdr:from>
    <xdr:to>
      <xdr:col>24</xdr:col>
      <xdr:colOff>342243</xdr:colOff>
      <xdr:row>17</xdr:row>
      <xdr:rowOff>76638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094FF0E-9A15-38E1-8FF2-E26A17F128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33443" y="2083018"/>
              <a:ext cx="1828800" cy="1475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95468</xdr:colOff>
      <xdr:row>13</xdr:row>
      <xdr:rowOff>52113</xdr:rowOff>
    </xdr:from>
    <xdr:to>
      <xdr:col>21</xdr:col>
      <xdr:colOff>172544</xdr:colOff>
      <xdr:row>34</xdr:row>
      <xdr:rowOff>164225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96E23EB3-9254-1FA3-C608-6351E050345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24434" y="2789182"/>
              <a:ext cx="1828800" cy="402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396546</xdr:colOff>
      <xdr:row>20</xdr:row>
      <xdr:rowOff>13796</xdr:rowOff>
    </xdr:from>
    <xdr:to>
      <xdr:col>24</xdr:col>
      <xdr:colOff>386036</xdr:colOff>
      <xdr:row>34</xdr:row>
      <xdr:rowOff>27479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3598814-0F78-3E77-3CF5-2E6FF3E7B6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77236" y="405371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24089699076" backgroundQuery="1" createdVersion="8" refreshedVersion="8" minRefreshableVersion="3" recordCount="0" supportSubquery="1" supportAdvancedDrill="1" xr:uid="{FCA68676-17AE-41F2-B5B3-6A163CF147AC}">
  <cacheSource type="external" connectionId="1"/>
  <cacheFields count="3">
    <cacheField name="[Measures].[Sum of TotalSales]" caption="Sum of TotalSales" numFmtId="0" hierarchy="17" level="32767"/>
    <cacheField name="[Table1].[PaymentMode].[PaymentMode]" caption="PaymentMode" numFmtId="0" hierarchy="10" level="1">
      <sharedItems count="4">
        <s v="Card"/>
        <s v="Cash"/>
        <s v="NetBanking"/>
        <s v="UPI"/>
      </sharedItems>
    </cacheField>
    <cacheField name="[Table1].[Month].[Month]" caption="Month" numFmtId="0" hierarchy="12" level="1">
      <sharedItems containsSemiMixedTypes="0" containsNonDate="0" containsString="0"/>
    </cacheField>
  </cacheFields>
  <cacheHierarchies count="1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2" memberValueDatatype="130" unbalanced="0">
      <fieldsUsage count="2">
        <fieldUsage x="-1"/>
        <fieldUsage x="1"/>
      </fieldsUsage>
    </cacheHierarchy>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24090393522" backgroundQuery="1" createdVersion="8" refreshedVersion="8" minRefreshableVersion="3" recordCount="0" supportSubquery="1" supportAdvancedDrill="1" xr:uid="{3D5E8CA8-5218-41BF-B326-BD98365B8592}">
  <cacheSource type="external" connectionId="1"/>
  <cacheFields count="2">
    <cacheField name="[Table1].[Month].[Month]" caption="Month" numFmtId="0" hierarchy="12" level="1">
      <sharedItems count="12">
        <s v="Apr"/>
        <s v="Aug"/>
        <s v="Dec"/>
        <s v="Feb"/>
        <s v="Jan"/>
        <s v="Jul"/>
        <s v="Jun"/>
        <s v="Mar"/>
        <s v="May"/>
        <s v="Nov"/>
        <s v="Oct"/>
        <s v="Sep"/>
      </sharedItems>
    </cacheField>
    <cacheField name="[Measures].[Sum of TotalSales]" caption="Sum of TotalSales" numFmtId="0" hierarchy="17" level="32767"/>
  </cacheFields>
  <cacheHierarchies count="1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0" memberValueDatatype="130" unbalanced="0"/>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24090972223" backgroundQuery="1" createdVersion="8" refreshedVersion="8" minRefreshableVersion="3" recordCount="0" supportSubquery="1" supportAdvancedDrill="1" xr:uid="{53EB7FE4-E4CD-4978-85D5-9050CD042F7A}">
  <cacheSource type="external" connectionId="1"/>
  <cacheFields count="3">
    <cacheField name="[Table1].[SalesRep].[SalesRep]" caption="SalesRep" numFmtId="0" hierarchy="6" level="1">
      <sharedItems count="8">
        <s v="Amit"/>
        <s v="Arjun"/>
        <s v="Neha"/>
        <s v="Pooja"/>
        <s v="Priya"/>
        <s v="Rahul"/>
        <s v="Sneha"/>
        <s v="Vikas"/>
      </sharedItems>
    </cacheField>
    <cacheField name="[Measures].[Sum of TotalSales]" caption="Sum of TotalSales" numFmtId="0" hierarchy="17" level="32767"/>
    <cacheField name="[Table1].[Month].[Month]" caption="Month" numFmtId="0" hierarchy="12" level="1">
      <sharedItems containsSemiMixedTypes="0" containsNonDate="0" containsString="0"/>
    </cacheField>
  </cacheFields>
  <cacheHierarchies count="1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Rep]" caption="SalesRep" attribute="1" defaultMemberUniqueName="[Table1].[SalesRep].[All]" allUniqueName="[Table1].[SalesRep].[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0" memberValueDatatype="130" unbalanced="0"/>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24091435185" backgroundQuery="1" createdVersion="8" refreshedVersion="8" minRefreshableVersion="3" recordCount="0" supportSubquery="1" supportAdvancedDrill="1" xr:uid="{FEB25246-CE32-46B4-A049-9F51A298CC28}">
  <cacheSource type="external" connectionId="1"/>
  <cacheFields count="3">
    <cacheField name="[Measures].[Sum of TotalSales]" caption="Sum of TotalSales" numFmtId="0" hierarchy="17" level="32767"/>
    <cacheField name="[Table1].[PaymentMode].[PaymentMode]" caption="PaymentMode" numFmtId="0" hierarchy="10" level="1">
      <sharedItems count="4">
        <s v="Card"/>
        <s v="Cash"/>
        <s v="NetBanking"/>
        <s v="UPI"/>
      </sharedItems>
    </cacheField>
    <cacheField name="[Table1].[Month].[Month]" caption="Month" numFmtId="0" hierarchy="12" level="1">
      <sharedItems containsSemiMixedTypes="0" containsNonDate="0" containsString="0"/>
    </cacheField>
  </cacheFields>
  <cacheHierarchies count="1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2" memberValueDatatype="130" unbalanced="0">
      <fieldsUsage count="2">
        <fieldUsage x="-1"/>
        <fieldUsage x="1"/>
      </fieldsUsage>
    </cacheHierarchy>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8724664352" backgroundQuery="1" createdVersion="8" refreshedVersion="8" minRefreshableVersion="3" recordCount="0" supportSubquery="1" supportAdvancedDrill="1" xr:uid="{EEBA499F-C2AC-4579-9C2E-C0D18E826D0B}">
  <cacheSource type="external" connectionId="1"/>
  <cacheFields count="2">
    <cacheField name="[Measures].[Sum of TotalSales]" caption="Sum of TotalSales" numFmtId="0" hierarchy="17" level="32767"/>
    <cacheField name="[Table1].[Region].[Region]" caption="Region" numFmtId="0" hierarchy="2" level="1">
      <sharedItems count="4">
        <s v="East"/>
        <s v="North"/>
        <s v="South"/>
        <s v="West"/>
      </sharedItems>
    </cacheField>
  </cacheFields>
  <cacheHierarchies count="18">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0" memberValueDatatype="130" unbalanced="0"/>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87568287035" backgroundQuery="1" createdVersion="8" refreshedVersion="8" minRefreshableVersion="3" recordCount="0" supportSubquery="1" supportAdvancedDrill="1" xr:uid="{C246C2D8-41D4-4CCE-A002-E697AB9E3207}">
  <cacheSource type="external" connectionId="1"/>
  <cacheFields count="3">
    <cacheField name="[Measures].[Sum of TotalSales]" caption="Sum of TotalSales" numFmtId="0" hierarchy="17" level="32767"/>
    <cacheField name="[Table1].[Category].[Category]" caption="Category" numFmtId="0" hierarchy="4" level="1">
      <sharedItems count="4">
        <s v="Clothing"/>
        <s v="Electronics"/>
        <s v="Furniture"/>
        <s v="Grocery"/>
      </sharedItems>
    </cacheField>
    <cacheField name="[Table1].[Region].[Region]" caption="Region" numFmtId="0" hierarchy="2" level="1">
      <sharedItems containsSemiMixedTypes="0" containsNonDate="0" containsString="0"/>
    </cacheField>
  </cacheFields>
  <cacheHierarchies count="18">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SalesRep]" caption="SalesRep" attribute="1" defaultMemberUniqueName="[Table1].[SalesRep].[All]" allUniqueName="[Table1].[SalesRep].[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Mode]" caption="PaymentMode" attribute="1" defaultMemberUniqueName="[Table1].[PaymentMode].[All]" allUniqueName="[Table1].[PaymentMode].[All]" dimensionUniqueName="[Table1]" displayFolder="" count="2" memberValueDatatype="130" unbalanced="0"/>
    <cacheHierarchy uniqueName="[Table1].[TotalSales]" caption="TotalSales" attribute="1" defaultMemberUniqueName="[Table1].[TotalSales].[All]" allUniqueName="[Table1].[TotalSales].[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cacheHierarchy uniqueName="[Table1].[Sales Level]" caption="Sales Level" attribute="1" defaultMemberUniqueName="[Table1].[Sales Level].[All]" allUniqueName="[Table1].[Sales Level].[All]" dimensionUniqueName="[Table1]" displayFolder="" count="2" memberValueDatatype="130" unbalanced="0"/>
    <cacheHierarchy uniqueName="[Table1].[Net per Unit]" caption="Net per Unit" attribute="1" defaultMemberUniqueName="[Table1].[Net per Unit].[All]" allUniqueName="[Table1].[Net per Unit].[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287.822267824071" backgroundQuery="1" createdVersion="3" refreshedVersion="8" minRefreshableVersion="3" recordCount="0" supportSubquery="1" supportAdvancedDrill="1" xr:uid="{4E0409A6-F4E3-427D-8670-5CE75CFC45C7}">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Rep]" caption="SalesRep" attribute="1" defaultMemberUniqueName="[Table1].[SalesRep].[All]" allUniqueName="[Table1].[SalesRep].[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Mode]" caption="PaymentMode" attribute="1" defaultMemberUniqueName="[Table1].[PaymentMode].[All]" allUniqueName="[Table1].[PaymentMode].[All]" dimensionUniqueName="[Table1]" displayFolder="" count="0" memberValueDatatype="130" unbalanced="0"/>
    <cacheHierarchy uniqueName="[Table1].[TotalSales]" caption="TotalSales" attribute="1" defaultMemberUniqueName="[Table1].[TotalSales].[All]" allUniqueName="[Table1].[TotalSales].[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Sales Level]" caption="Sales Level" attribute="1" defaultMemberUniqueName="[Table1].[Sales Level].[All]" allUniqueName="[Table1].[Sales Level].[All]" dimensionUniqueName="[Table1]" displayFolder="" count="0" memberValueDatatype="130" unbalanced="0"/>
    <cacheHierarchy uniqueName="[Table1].[Net per Unit]" caption="Net per Unit" attribute="1" defaultMemberUniqueName="[Table1].[Net per Unit].[All]" allUniqueName="[Table1].[Net per Unit].[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Sales]" caption="Sum of TotalSales"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63792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075A6-5E05-4F44-8F50-BD753C6E1FE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4"/>
    </i>
    <i>
      <x v="1"/>
    </i>
    <i>
      <x v="2"/>
    </i>
    <i>
      <x v="3"/>
    </i>
    <i>
      <x v="5"/>
    </i>
    <i>
      <x/>
    </i>
    <i>
      <x v="6"/>
    </i>
    <i t="grand">
      <x/>
    </i>
  </rowItems>
  <colItems count="1">
    <i/>
  </colItems>
  <dataFields count="1">
    <dataField name="Sum of Total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1B877-235C-4CA9-8AD1-3F0ED0DFF00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Sales" fld="1" baseField="0" baseItem="0"/>
  </dataFields>
  <formats count="2">
    <format dxfId="5">
      <pivotArea collapsedLevelsAreSubtotals="1" fieldPosition="0">
        <references count="1">
          <reference field="0" count="0"/>
        </references>
      </pivotArea>
    </format>
    <format dxfId="4">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12698-A2DB-4091-AF02-863EA003E71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Sales" fld="0"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3"/>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Hierarchies count="1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769DF3-CD5E-4B8B-A765-B8071CCEC0D1}"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5:T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Sales"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8BDB98-0EE4-491D-AF6B-C23A0B5FB55C}"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1"/>
  </rowFields>
  <rowItems count="5">
    <i>
      <x/>
    </i>
    <i>
      <x v="1"/>
    </i>
    <i>
      <x v="2"/>
    </i>
    <i>
      <x v="3"/>
    </i>
    <i t="grand">
      <x/>
    </i>
  </rowItems>
  <colItems count="1">
    <i/>
  </colItems>
  <dataFields count="1">
    <dataField name="Sum of Total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09BCC-0520-4889-8648-07237B9D5BB6}"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4:O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Sales"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575619-6BD0-4430-A322-F2CDCF9BC55A}" sourceName="[Table1].[Category]">
  <pivotTables>
    <pivotTable tabId="3" name="PivotTable3"/>
  </pivotTables>
  <data>
    <olap pivotCacheId="16379290">
      <levels count="2">
        <level uniqueName="[Table1].[Category].[(All)]" sourceCaption="(All)" count="0"/>
        <level uniqueName="[Table1].[Category].[Category]" sourceCaption="Category" count="5">
          <ranges>
            <range startItem="0">
              <i n="[Table1].[Category].&amp;[Clothing]" c="Clothing"/>
              <i n="[Table1].[Category].&amp;[Electronics]" c="Electronics"/>
              <i n="[Table1].[Category].&amp;[Furniture]" c="Furniture"/>
              <i n="[Table1].[Category].&amp;[Grocery]" c="Grocery"/>
              <i n="[Table1].[Category].&amp;" c="(blank)" nd="1"/>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33AC3A-0EFC-4B2B-B9CE-5D54867E5CA8}" sourceName="[Table1].[Month]">
  <pivotTables>
    <pivotTable tabId="3" name="PivotTable3"/>
    <pivotTable tabId="3" name="PivotTable10"/>
    <pivotTable tabId="3" name="PivotTable4"/>
    <pivotTable tabId="3" name="PivotTable5"/>
    <pivotTable tabId="3" name="PivotTable7"/>
    <pivotTable tabId="3" name="PivotTable9"/>
  </pivotTables>
  <data>
    <olap pivotCacheId="16379290">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CCDC1E-5B5E-4481-A1B0-03B32A1AFE90}" sourceName="[Table1].[Region]">
  <pivotTables>
    <pivotTable tabId="3" name="PivotTable3"/>
  </pivotTables>
  <data>
    <olap pivotCacheId="16379290">
      <levels count="2">
        <level uniqueName="[Table1].[Region].[(All)]" sourceCaption="(All)" count="0"/>
        <level uniqueName="[Table1].[Region].[Region]" sourceCaption="Region" count="5">
          <ranges>
            <range startItem="0">
              <i n="[Table1].[Region].&amp;[East]" c="East"/>
              <i n="[Table1].[Region].&amp;[North]" c="North"/>
              <i n="[Table1].[Region].&amp;[South]" c="South"/>
              <i n="[Table1].[Region].&amp;[West]" c="West"/>
              <i n="[Table1].[Region].&amp;" c="(blank)" nd="1"/>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EFF030-57AB-40E1-AE8E-A01B89F8FEBB}" cache="Slicer_Category" caption="Category" startItem="2" level="1" rowHeight="251883"/>
  <slicer name="Month" xr10:uid="{9460B6FB-8C6B-4013-AF82-556ECAA677A9}" cache="Slicer_Month" caption="Month" level="1" rowHeight="251883"/>
  <slicer name="Region" xr10:uid="{75EEDAA3-B1E3-4119-83AE-38FA2BED28F6}" cache="Slicer_Region" caption="Region"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90B000-3582-4414-8CEF-88601F35D99E}" name="Table1" displayName="Table1" ref="A1:O1216" totalsRowShown="0">
  <autoFilter ref="A1:O1216" xr:uid="{1F90B000-3582-4414-8CEF-88601F35D99E}"/>
  <tableColumns count="15">
    <tableColumn id="1" xr3:uid="{9A433286-6874-482E-83AC-E6FE065185D2}" name="OrderID"/>
    <tableColumn id="2" xr3:uid="{D6E9C431-695F-4CDA-8681-FD7DA8172B46}" name="OrderDate" dataDxfId="3"/>
    <tableColumn id="3" xr3:uid="{21EE2DF9-8616-4288-A07B-BC61433E9C3D}" name="Region"/>
    <tableColumn id="4" xr3:uid="{9F5BD087-0CDA-4DB4-A4AF-C830328D135D}" name="City"/>
    <tableColumn id="5" xr3:uid="{18C51E3A-D4B2-4771-AFCE-7B5A954E343C}" name="Category"/>
    <tableColumn id="6" xr3:uid="{97782639-4BEC-4453-A178-95B912C8AB04}" name="Product"/>
    <tableColumn id="7" xr3:uid="{D342D0B8-98D4-4DFE-BB7F-43BFAC99D79D}" name="SalesRep"/>
    <tableColumn id="8" xr3:uid="{96CBFDC3-21F0-4FD3-98D4-8B37539DFA9C}" name="Quantity"/>
    <tableColumn id="9" xr3:uid="{481F10DB-D937-4168-A66F-5D986B859856}" name="UnitPrice"/>
    <tableColumn id="10" xr3:uid="{8BE39F04-AD3B-4164-BAAB-D830B51145B1}" name="Discount%" dataCellStyle="Percent"/>
    <tableColumn id="11" xr3:uid="{1F61B5C7-567F-4ECA-8003-E14B2FE862EA}" name="PaymentMode"/>
    <tableColumn id="12" xr3:uid="{776DB418-8C02-4941-9EAF-AB945CA3E181}" name="TotalSales"/>
    <tableColumn id="13" xr3:uid="{0C557B08-7C5F-402A-9084-18A42B14EEB0}" name="Month" dataDxfId="2">
      <calculatedColumnFormula>TEXT(Table1[[#This Row],[OrderDate]], "mmm")</calculatedColumnFormula>
    </tableColumn>
    <tableColumn id="14" xr3:uid="{B5ABC7C9-7985-4B9E-A632-1D0E6130039F}" name="Sales Level" dataDxfId="1">
      <calculatedColumnFormula>IF(Table1[[#This Row],[TotalSales]]&gt;50000,"High",IF(L2&gt;20000,"Medium","Low"))</calculatedColumnFormula>
    </tableColumn>
    <tableColumn id="15" xr3:uid="{3D75434D-ED50-4BF6-ABEF-25A3984016CA}" name="Net per Unit" dataDxfId="0">
      <calculatedColumnFormula>Table1[[#This Row],[TotalSales]]/Table1[[#This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4F74-C786-4273-8388-FD578D65BCA1}">
  <dimension ref="A1:T16"/>
  <sheetViews>
    <sheetView tabSelected="1" topLeftCell="B1" zoomScale="58" zoomScaleNormal="44" workbookViewId="0">
      <selection activeCell="D4" sqref="D4:E4"/>
      <pivotSelection pane="bottomRight" showHeader="1" extendable="1" axis="axisRow" max="5" activeRow="3" activeCol="3" previousRow="3" previousCol="3" click="1" r:id="rId3">
        <pivotArea dataOnly="0" axis="axisRow" fieldPosition="0">
          <references count="1">
            <reference field="1" count="1">
              <x v="0"/>
            </reference>
          </references>
        </pivotArea>
      </pivotSelection>
    </sheetView>
  </sheetViews>
  <sheetFormatPr defaultRowHeight="14.5" x14ac:dyDescent="0.35"/>
  <cols>
    <col min="1" max="1" width="14.54296875" bestFit="1" customWidth="1"/>
    <col min="2" max="2" width="16.26953125" bestFit="1" customWidth="1"/>
    <col min="4" max="4" width="14.54296875" bestFit="1" customWidth="1"/>
    <col min="5" max="5" width="16.26953125" bestFit="1" customWidth="1"/>
    <col min="7" max="7" width="14.54296875" bestFit="1" customWidth="1"/>
    <col min="8" max="8" width="16.54296875" bestFit="1" customWidth="1"/>
    <col min="10" max="10" width="14.54296875" bestFit="1" customWidth="1"/>
    <col min="11" max="11" width="16.26953125" bestFit="1" customWidth="1"/>
    <col min="14" max="14" width="14.54296875" bestFit="1" customWidth="1"/>
    <col min="15" max="15" width="16.26953125" bestFit="1" customWidth="1"/>
    <col min="19" max="19" width="14.54296875" bestFit="1" customWidth="1"/>
    <col min="20" max="20" width="16.26953125" bestFit="1" customWidth="1"/>
  </cols>
  <sheetData>
    <row r="1" spans="1:20" ht="28.5" x14ac:dyDescent="0.65">
      <c r="A1" s="8" t="s">
        <v>1284</v>
      </c>
      <c r="B1" s="8"/>
      <c r="C1" s="8"/>
      <c r="D1" s="8"/>
      <c r="E1" s="8"/>
      <c r="F1" s="8"/>
      <c r="G1" s="8"/>
      <c r="H1" s="8"/>
      <c r="I1" s="8"/>
      <c r="J1" s="8"/>
      <c r="K1" s="8"/>
      <c r="L1" s="8"/>
      <c r="M1" s="8"/>
      <c r="N1" s="8"/>
      <c r="O1" s="8"/>
      <c r="P1" s="8"/>
      <c r="Q1" s="8"/>
      <c r="R1" s="8"/>
      <c r="S1" s="8"/>
    </row>
    <row r="2" spans="1:20" ht="20" thickBot="1" x14ac:dyDescent="0.5">
      <c r="A2" s="9" t="s">
        <v>1267</v>
      </c>
      <c r="B2" s="9"/>
      <c r="D2" s="10" t="s">
        <v>1268</v>
      </c>
      <c r="E2" s="10"/>
      <c r="G2" s="10" t="s">
        <v>1269</v>
      </c>
      <c r="H2" s="10"/>
      <c r="J2" s="5" t="s">
        <v>1282</v>
      </c>
      <c r="K2" s="5"/>
    </row>
    <row r="3" spans="1:20" ht="20.5" thickTop="1" thickBot="1" x14ac:dyDescent="0.4">
      <c r="A3" s="3" t="s">
        <v>1264</v>
      </c>
      <c r="B3" t="s">
        <v>1266</v>
      </c>
      <c r="D3" s="3" t="s">
        <v>1264</v>
      </c>
      <c r="E3" t="s">
        <v>1266</v>
      </c>
      <c r="G3" s="3" t="s">
        <v>1264</v>
      </c>
      <c r="H3" t="s">
        <v>1266</v>
      </c>
      <c r="J3" s="3" t="s">
        <v>1264</v>
      </c>
      <c r="K3" t="s">
        <v>1266</v>
      </c>
      <c r="N3" s="9" t="s">
        <v>1283</v>
      </c>
      <c r="O3" s="9"/>
    </row>
    <row r="4" spans="1:20" ht="15" thickTop="1" x14ac:dyDescent="0.35">
      <c r="A4" s="4" t="s">
        <v>13</v>
      </c>
      <c r="B4" s="11">
        <v>53716987.960000016</v>
      </c>
      <c r="D4" s="4" t="s">
        <v>28</v>
      </c>
      <c r="E4" s="11">
        <v>60880334.075500056</v>
      </c>
      <c r="G4" s="4" t="s">
        <v>1270</v>
      </c>
      <c r="H4" s="6">
        <v>19619674.1065</v>
      </c>
      <c r="J4" s="4" t="s">
        <v>49</v>
      </c>
      <c r="K4">
        <v>33853555.794500031</v>
      </c>
      <c r="N4" s="3" t="s">
        <v>1264</v>
      </c>
      <c r="O4" t="s">
        <v>1266</v>
      </c>
    </row>
    <row r="5" spans="1:20" x14ac:dyDescent="0.35">
      <c r="A5" s="4" t="s">
        <v>46</v>
      </c>
      <c r="B5" s="11">
        <v>66715182.850499973</v>
      </c>
      <c r="D5" s="4" t="s">
        <v>15</v>
      </c>
      <c r="E5" s="11">
        <v>57333152.073000021</v>
      </c>
      <c r="G5" s="4" t="s">
        <v>1274</v>
      </c>
      <c r="H5" s="6">
        <v>19688604.207500011</v>
      </c>
      <c r="J5" s="4" t="s">
        <v>17</v>
      </c>
      <c r="K5">
        <v>32364815.5075</v>
      </c>
      <c r="N5" s="4" t="s">
        <v>18</v>
      </c>
      <c r="O5">
        <v>58565052.288999997</v>
      </c>
      <c r="S5" s="3" t="s">
        <v>1264</v>
      </c>
      <c r="T5" t="s">
        <v>1266</v>
      </c>
    </row>
    <row r="6" spans="1:20" x14ac:dyDescent="0.35">
      <c r="A6" s="4" t="s">
        <v>20</v>
      </c>
      <c r="B6" s="11">
        <v>69639880.544000015</v>
      </c>
      <c r="D6" s="4" t="s">
        <v>22</v>
      </c>
      <c r="E6" s="11">
        <v>60095257.882000007</v>
      </c>
      <c r="G6" s="4" t="s">
        <v>1277</v>
      </c>
      <c r="H6" s="6">
        <v>16899862.18</v>
      </c>
      <c r="J6" s="4" t="s">
        <v>66</v>
      </c>
      <c r="K6">
        <v>31150715.657999996</v>
      </c>
      <c r="N6" s="4" t="s">
        <v>44</v>
      </c>
      <c r="O6">
        <v>61097526.749500014</v>
      </c>
      <c r="S6" s="4" t="s">
        <v>18</v>
      </c>
      <c r="T6">
        <v>58565052.288999997</v>
      </c>
    </row>
    <row r="7" spans="1:20" x14ac:dyDescent="0.35">
      <c r="A7" s="4" t="s">
        <v>40</v>
      </c>
      <c r="B7" s="11">
        <v>54330591.125000045</v>
      </c>
      <c r="D7" s="4" t="s">
        <v>34</v>
      </c>
      <c r="E7" s="11">
        <v>66093898.448999979</v>
      </c>
      <c r="G7" s="4" t="s">
        <v>1271</v>
      </c>
      <c r="H7" s="6">
        <v>18521674.565499999</v>
      </c>
      <c r="J7" s="4" t="s">
        <v>83</v>
      </c>
      <c r="K7">
        <v>30615193.31299999</v>
      </c>
      <c r="N7" s="4" t="s">
        <v>25</v>
      </c>
      <c r="O7">
        <v>61950564.037500039</v>
      </c>
      <c r="S7" s="4" t="s">
        <v>44</v>
      </c>
      <c r="T7">
        <v>61097526.749500014</v>
      </c>
    </row>
    <row r="8" spans="1:20" x14ac:dyDescent="0.35">
      <c r="A8" s="4" t="s">
        <v>1265</v>
      </c>
      <c r="B8" s="11">
        <v>244402642.47949997</v>
      </c>
      <c r="D8" s="4" t="s">
        <v>1265</v>
      </c>
      <c r="E8" s="11">
        <v>244402642.47949997</v>
      </c>
      <c r="G8" s="4" t="s">
        <v>1278</v>
      </c>
      <c r="H8" s="6">
        <v>17544729.805000007</v>
      </c>
      <c r="J8" s="4" t="s">
        <v>30</v>
      </c>
      <c r="K8">
        <v>30060437.42600001</v>
      </c>
      <c r="N8" s="4" t="s">
        <v>31</v>
      </c>
      <c r="O8">
        <v>62789499.403500021</v>
      </c>
      <c r="S8" s="4" t="s">
        <v>25</v>
      </c>
      <c r="T8">
        <v>61950564.037500039</v>
      </c>
    </row>
    <row r="9" spans="1:20" x14ac:dyDescent="0.35">
      <c r="G9" s="4" t="s">
        <v>1276</v>
      </c>
      <c r="H9" s="6">
        <v>20615676.186000008</v>
      </c>
      <c r="J9" s="4" t="s">
        <v>24</v>
      </c>
      <c r="K9">
        <v>29818760.789000001</v>
      </c>
      <c r="N9" s="4" t="s">
        <v>1265</v>
      </c>
      <c r="O9">
        <v>244402642.47949997</v>
      </c>
      <c r="S9" s="4" t="s">
        <v>31</v>
      </c>
      <c r="T9">
        <v>62789499.403500021</v>
      </c>
    </row>
    <row r="10" spans="1:20" x14ac:dyDescent="0.35">
      <c r="G10" s="4" t="s">
        <v>1275</v>
      </c>
      <c r="H10" s="6">
        <v>19220578.413000003</v>
      </c>
      <c r="J10" s="4" t="s">
        <v>43</v>
      </c>
      <c r="K10">
        <v>29464360.583000012</v>
      </c>
      <c r="S10" s="4" t="s">
        <v>1265</v>
      </c>
      <c r="T10">
        <v>244402642.47949997</v>
      </c>
    </row>
    <row r="11" spans="1:20" x14ac:dyDescent="0.35">
      <c r="G11" s="4" t="s">
        <v>1272</v>
      </c>
      <c r="H11" s="6">
        <v>22357124.889999997</v>
      </c>
      <c r="J11" s="4" t="s">
        <v>69</v>
      </c>
      <c r="K11">
        <v>27074803.408499997</v>
      </c>
    </row>
    <row r="12" spans="1:20" x14ac:dyDescent="0.35">
      <c r="G12" s="4" t="s">
        <v>1281</v>
      </c>
      <c r="H12" s="6">
        <v>17844125.459999997</v>
      </c>
      <c r="J12" s="4" t="s">
        <v>1265</v>
      </c>
      <c r="K12">
        <v>244402642.47949997</v>
      </c>
    </row>
    <row r="13" spans="1:20" x14ac:dyDescent="0.35">
      <c r="G13" s="4" t="s">
        <v>1280</v>
      </c>
      <c r="H13" s="6">
        <v>24036161.916999999</v>
      </c>
    </row>
    <row r="14" spans="1:20" x14ac:dyDescent="0.35">
      <c r="G14" s="4" t="s">
        <v>1279</v>
      </c>
      <c r="H14" s="6">
        <v>26425224.080000013</v>
      </c>
    </row>
    <row r="15" spans="1:20" x14ac:dyDescent="0.35">
      <c r="G15" s="4" t="s">
        <v>1273</v>
      </c>
      <c r="H15" s="6">
        <v>21629206.669000003</v>
      </c>
    </row>
    <row r="16" spans="1:20" x14ac:dyDescent="0.35">
      <c r="G16" s="4" t="s">
        <v>1265</v>
      </c>
      <c r="H16" s="7">
        <v>244402642.47949997</v>
      </c>
    </row>
  </sheetData>
  <mergeCells count="5">
    <mergeCell ref="A1:S1"/>
    <mergeCell ref="A2:B2"/>
    <mergeCell ref="D2:E2"/>
    <mergeCell ref="G2:H2"/>
    <mergeCell ref="N3:O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5EBC-5602-4812-B2A1-A4386BB520CC}">
  <dimension ref="A1:P1216"/>
  <sheetViews>
    <sheetView topLeftCell="A2" workbookViewId="0">
      <selection activeCell="B5" sqref="A2:O1216"/>
    </sheetView>
  </sheetViews>
  <sheetFormatPr defaultRowHeight="14.5" x14ac:dyDescent="0.35"/>
  <cols>
    <col min="1" max="1" width="9.26953125" customWidth="1"/>
    <col min="2" max="2" width="11.36328125" customWidth="1"/>
    <col min="5" max="5" width="10.1796875" customWidth="1"/>
    <col min="6" max="6" width="9.36328125" customWidth="1"/>
    <col min="7" max="7" width="10.6328125" customWidth="1"/>
    <col min="8" max="8" width="10" customWidth="1"/>
    <col min="9" max="9" width="10.6328125" customWidth="1"/>
    <col min="10" max="10" width="11.90625" style="2" customWidth="1"/>
    <col min="11" max="11" width="14.7265625" customWidth="1"/>
    <col min="12" max="12" width="11.453125" customWidth="1"/>
    <col min="16" max="16" width="10.81640625" bestFit="1" customWidth="1"/>
  </cols>
  <sheetData>
    <row r="1" spans="1:16" x14ac:dyDescent="0.35">
      <c r="A1" t="s">
        <v>0</v>
      </c>
      <c r="B1" t="s">
        <v>1</v>
      </c>
      <c r="C1" t="s">
        <v>2</v>
      </c>
      <c r="D1" t="s">
        <v>3</v>
      </c>
      <c r="E1" t="s">
        <v>4</v>
      </c>
      <c r="F1" t="s">
        <v>5</v>
      </c>
      <c r="G1" t="s">
        <v>6</v>
      </c>
      <c r="H1" t="s">
        <v>7</v>
      </c>
      <c r="I1" t="s">
        <v>8</v>
      </c>
      <c r="J1" s="2" t="s">
        <v>9</v>
      </c>
      <c r="K1" t="s">
        <v>10</v>
      </c>
      <c r="L1" t="s">
        <v>11</v>
      </c>
      <c r="M1" t="s">
        <v>1261</v>
      </c>
      <c r="N1" t="s">
        <v>1262</v>
      </c>
      <c r="O1" t="s">
        <v>1263</v>
      </c>
    </row>
    <row r="2" spans="1:16" x14ac:dyDescent="0.35">
      <c r="A2" t="s">
        <v>12</v>
      </c>
      <c r="B2" s="1">
        <v>45406</v>
      </c>
      <c r="C2" t="s">
        <v>13</v>
      </c>
      <c r="D2" t="s">
        <v>14</v>
      </c>
      <c r="E2" t="s">
        <v>15</v>
      </c>
      <c r="F2" t="s">
        <v>16</v>
      </c>
      <c r="G2" t="s">
        <v>17</v>
      </c>
      <c r="H2">
        <v>3</v>
      </c>
      <c r="I2">
        <v>40558.620000000003</v>
      </c>
      <c r="J2" s="2">
        <v>0.15</v>
      </c>
      <c r="K2" t="s">
        <v>18</v>
      </c>
      <c r="L2">
        <v>103424.48</v>
      </c>
      <c r="M2" t="str">
        <f>TEXT(Table1[[#This Row],[OrderDate]], "mmm")</f>
        <v>Apr</v>
      </c>
      <c r="N2" t="str">
        <f>IF(Table1[[#This Row],[TotalSales]]&gt;50000,"High",IF(L2&gt;20000,"Medium","Low"))</f>
        <v>High</v>
      </c>
      <c r="O2">
        <f>Table1[[#This Row],[TotalSales]]/Table1[[#This Row],[Quantity]]</f>
        <v>34474.826666666668</v>
      </c>
    </row>
    <row r="3" spans="1:16" x14ac:dyDescent="0.35">
      <c r="A3" t="s">
        <v>19</v>
      </c>
      <c r="B3" s="1">
        <v>45624</v>
      </c>
      <c r="C3" t="s">
        <v>20</v>
      </c>
      <c r="D3" t="s">
        <v>21</v>
      </c>
      <c r="E3" t="s">
        <v>22</v>
      </c>
      <c r="F3" t="s">
        <v>23</v>
      </c>
      <c r="G3" t="s">
        <v>24</v>
      </c>
      <c r="H3">
        <v>12</v>
      </c>
      <c r="I3">
        <v>30062.79</v>
      </c>
      <c r="J3" s="2">
        <v>0</v>
      </c>
      <c r="K3" t="s">
        <v>25</v>
      </c>
      <c r="L3">
        <v>360753.48</v>
      </c>
      <c r="M3" t="str">
        <f>TEXT(Table1[[#This Row],[OrderDate]], "mmm")</f>
        <v>Nov</v>
      </c>
      <c r="N3" t="str">
        <f>IF(Table1[[#This Row],[TotalSales]]&gt;50000,"High",IF(L3&gt;20000,"Medium","Low"))</f>
        <v>High</v>
      </c>
      <c r="O3">
        <f>Table1[[#This Row],[TotalSales]]/Table1[[#This Row],[Quantity]]</f>
        <v>30062.789999999997</v>
      </c>
      <c r="P3">
        <f>SUMIF(C2:C1201,C8,L2:L1201)</f>
        <v>66715182.850499973</v>
      </c>
    </row>
    <row r="4" spans="1:16" x14ac:dyDescent="0.35">
      <c r="A4" t="s">
        <v>26</v>
      </c>
      <c r="B4" s="1">
        <v>45464</v>
      </c>
      <c r="C4" t="s">
        <v>20</v>
      </c>
      <c r="D4" t="s">
        <v>27</v>
      </c>
      <c r="E4" t="s">
        <v>28</v>
      </c>
      <c r="F4" t="s">
        <v>29</v>
      </c>
      <c r="G4" t="s">
        <v>30</v>
      </c>
      <c r="H4">
        <v>2</v>
      </c>
      <c r="I4">
        <v>5282.47</v>
      </c>
      <c r="J4" s="2">
        <v>0</v>
      </c>
      <c r="K4" t="s">
        <v>31</v>
      </c>
      <c r="L4">
        <v>10564.94</v>
      </c>
      <c r="M4" t="str">
        <f>TEXT(Table1[[#This Row],[OrderDate]], "mmm")</f>
        <v>Jun</v>
      </c>
      <c r="N4" t="str">
        <f>IF(Table1[[#This Row],[TotalSales]]&gt;50000,"High",IF(L4&gt;20000,"Medium","Low"))</f>
        <v>Low</v>
      </c>
      <c r="O4">
        <f>Table1[[#This Row],[TotalSales]]/Table1[[#This Row],[Quantity]]</f>
        <v>5282.47</v>
      </c>
    </row>
    <row r="5" spans="1:16" x14ac:dyDescent="0.35">
      <c r="A5" t="s">
        <v>32</v>
      </c>
      <c r="B5" s="1">
        <v>45608</v>
      </c>
      <c r="C5" t="s">
        <v>13</v>
      </c>
      <c r="D5" t="s">
        <v>33</v>
      </c>
      <c r="E5" t="s">
        <v>34</v>
      </c>
      <c r="F5" t="s">
        <v>35</v>
      </c>
      <c r="G5" t="s">
        <v>17</v>
      </c>
      <c r="H5">
        <v>15</v>
      </c>
      <c r="I5">
        <v>47421.54</v>
      </c>
      <c r="J5" s="2">
        <v>0.1</v>
      </c>
      <c r="K5" t="s">
        <v>18</v>
      </c>
      <c r="L5">
        <v>640190.79</v>
      </c>
      <c r="M5" t="str">
        <f>TEXT(Table1[[#This Row],[OrderDate]], "mmm")</f>
        <v>Nov</v>
      </c>
      <c r="N5" t="str">
        <f>IF(Table1[[#This Row],[TotalSales]]&gt;50000,"High",IF(L5&gt;20000,"Medium","Low"))</f>
        <v>High</v>
      </c>
      <c r="O5">
        <f>Table1[[#This Row],[TotalSales]]/Table1[[#This Row],[Quantity]]</f>
        <v>42679.386000000006</v>
      </c>
    </row>
    <row r="6" spans="1:16" x14ac:dyDescent="0.35">
      <c r="A6" t="s">
        <v>36</v>
      </c>
      <c r="B6" s="1">
        <v>45617</v>
      </c>
      <c r="C6" t="s">
        <v>13</v>
      </c>
      <c r="D6" t="s">
        <v>37</v>
      </c>
      <c r="E6" t="s">
        <v>15</v>
      </c>
      <c r="F6" t="s">
        <v>38</v>
      </c>
      <c r="G6" t="s">
        <v>17</v>
      </c>
      <c r="H6">
        <v>14</v>
      </c>
      <c r="I6">
        <v>20192.8</v>
      </c>
      <c r="J6" s="2">
        <v>0</v>
      </c>
      <c r="K6" t="s">
        <v>18</v>
      </c>
      <c r="L6">
        <v>282699.2</v>
      </c>
      <c r="M6" t="str">
        <f>TEXT(Table1[[#This Row],[OrderDate]], "mmm")</f>
        <v>Nov</v>
      </c>
      <c r="N6" t="str">
        <f>IF(Table1[[#This Row],[TotalSales]]&gt;50000,"High",IF(L6&gt;20000,"Medium","Low"))</f>
        <v>High</v>
      </c>
      <c r="O6">
        <f>Table1[[#This Row],[TotalSales]]/Table1[[#This Row],[Quantity]]</f>
        <v>20192.8</v>
      </c>
    </row>
    <row r="7" spans="1:16" x14ac:dyDescent="0.35">
      <c r="A7" t="s">
        <v>39</v>
      </c>
      <c r="B7" s="1">
        <v>45430</v>
      </c>
      <c r="C7" t="s">
        <v>40</v>
      </c>
      <c r="D7" t="s">
        <v>41</v>
      </c>
      <c r="E7" t="s">
        <v>22</v>
      </c>
      <c r="F7" t="s">
        <v>42</v>
      </c>
      <c r="G7" t="s">
        <v>43</v>
      </c>
      <c r="H7">
        <v>15</v>
      </c>
      <c r="I7">
        <v>35271.99</v>
      </c>
      <c r="J7" s="2">
        <v>0.1</v>
      </c>
      <c r="K7" t="s">
        <v>44</v>
      </c>
      <c r="L7">
        <v>476171.86</v>
      </c>
      <c r="M7" t="str">
        <f>TEXT(Table1[[#This Row],[OrderDate]], "mmm")</f>
        <v>May</v>
      </c>
      <c r="N7" t="str">
        <f>IF(Table1[[#This Row],[TotalSales]]&gt;50000,"High",IF(L7&gt;20000,"Medium","Low"))</f>
        <v>High</v>
      </c>
      <c r="O7">
        <f>Table1[[#This Row],[TotalSales]]/Table1[[#This Row],[Quantity]]</f>
        <v>31744.790666666664</v>
      </c>
    </row>
    <row r="8" spans="1:16" x14ac:dyDescent="0.35">
      <c r="A8" t="s">
        <v>45</v>
      </c>
      <c r="B8" s="1">
        <v>45582</v>
      </c>
      <c r="C8" t="s">
        <v>46</v>
      </c>
      <c r="D8" t="s">
        <v>47</v>
      </c>
      <c r="E8" t="s">
        <v>34</v>
      </c>
      <c r="F8" t="s">
        <v>48</v>
      </c>
      <c r="G8" t="s">
        <v>49</v>
      </c>
      <c r="H8">
        <v>15</v>
      </c>
      <c r="I8">
        <v>39541.699999999997</v>
      </c>
      <c r="J8" s="2">
        <v>0</v>
      </c>
      <c r="K8" t="s">
        <v>18</v>
      </c>
      <c r="L8">
        <v>593125.5</v>
      </c>
      <c r="M8" t="str">
        <f>TEXT(Table1[[#This Row],[OrderDate]], "mmm")</f>
        <v>Oct</v>
      </c>
      <c r="N8" t="str">
        <f>IF(Table1[[#This Row],[TotalSales]]&gt;50000,"High",IF(L8&gt;20000,"Medium","Low"))</f>
        <v>High</v>
      </c>
      <c r="O8">
        <f>Table1[[#This Row],[TotalSales]]/Table1[[#This Row],[Quantity]]</f>
        <v>39541.699999999997</v>
      </c>
    </row>
    <row r="9" spans="1:16" x14ac:dyDescent="0.35">
      <c r="A9" t="s">
        <v>50</v>
      </c>
      <c r="B9" s="1">
        <v>45496</v>
      </c>
      <c r="C9" t="s">
        <v>40</v>
      </c>
      <c r="D9" t="s">
        <v>51</v>
      </c>
      <c r="E9" t="s">
        <v>22</v>
      </c>
      <c r="F9" t="s">
        <v>52</v>
      </c>
      <c r="G9" t="s">
        <v>24</v>
      </c>
      <c r="H9">
        <v>6</v>
      </c>
      <c r="I9">
        <v>12218.78</v>
      </c>
      <c r="J9" s="2">
        <v>0</v>
      </c>
      <c r="K9" t="s">
        <v>25</v>
      </c>
      <c r="L9">
        <v>73312.679999999993</v>
      </c>
      <c r="M9" t="str">
        <f>TEXT(Table1[[#This Row],[OrderDate]], "mmm")</f>
        <v>Jul</v>
      </c>
      <c r="N9" t="str">
        <f>IF(Table1[[#This Row],[TotalSales]]&gt;50000,"High",IF(L9&gt;20000,"Medium","Low"))</f>
        <v>High</v>
      </c>
      <c r="O9">
        <f>Table1[[#This Row],[TotalSales]]/Table1[[#This Row],[Quantity]]</f>
        <v>12218.779999999999</v>
      </c>
    </row>
    <row r="10" spans="1:16" x14ac:dyDescent="0.35">
      <c r="A10" t="s">
        <v>53</v>
      </c>
      <c r="B10" s="1">
        <v>45531</v>
      </c>
      <c r="C10" t="s">
        <v>40</v>
      </c>
      <c r="D10" t="s">
        <v>51</v>
      </c>
      <c r="E10" t="s">
        <v>15</v>
      </c>
      <c r="F10" t="s">
        <v>38</v>
      </c>
      <c r="G10" t="s">
        <v>49</v>
      </c>
      <c r="H10">
        <v>9</v>
      </c>
      <c r="I10">
        <v>13977.49</v>
      </c>
      <c r="J10" s="2">
        <v>0.1</v>
      </c>
      <c r="K10" t="s">
        <v>44</v>
      </c>
      <c r="L10">
        <v>113217.67</v>
      </c>
      <c r="M10" t="str">
        <f>TEXT(Table1[[#This Row],[OrderDate]], "mmm")</f>
        <v>Aug</v>
      </c>
      <c r="N10" t="str">
        <f>IF(Table1[[#This Row],[TotalSales]]&gt;50000,"High",IF(L10&gt;20000,"Medium","Low"))</f>
        <v>High</v>
      </c>
      <c r="O10">
        <f>Table1[[#This Row],[TotalSales]]/Table1[[#This Row],[Quantity]]</f>
        <v>12579.741111111111</v>
      </c>
    </row>
    <row r="11" spans="1:16" x14ac:dyDescent="0.35">
      <c r="A11" t="s">
        <v>54</v>
      </c>
      <c r="B11" s="1">
        <v>45524</v>
      </c>
      <c r="C11" t="s">
        <v>40</v>
      </c>
      <c r="D11" t="s">
        <v>55</v>
      </c>
      <c r="E11" t="s">
        <v>15</v>
      </c>
      <c r="F11" t="s">
        <v>56</v>
      </c>
      <c r="G11" t="s">
        <v>49</v>
      </c>
      <c r="H11">
        <v>1</v>
      </c>
      <c r="I11">
        <v>52469.11</v>
      </c>
      <c r="J11" s="2">
        <v>0.15</v>
      </c>
      <c r="K11" t="s">
        <v>18</v>
      </c>
      <c r="L11">
        <v>44598.74</v>
      </c>
      <c r="M11" t="str">
        <f>TEXT(Table1[[#This Row],[OrderDate]], "mmm")</f>
        <v>Aug</v>
      </c>
      <c r="N11" t="str">
        <f>IF(Table1[[#This Row],[TotalSales]]&gt;50000,"High",IF(L11&gt;20000,"Medium","Low"))</f>
        <v>Medium</v>
      </c>
      <c r="O11">
        <f>Table1[[#This Row],[TotalSales]]/Table1[[#This Row],[Quantity]]</f>
        <v>44598.74</v>
      </c>
    </row>
    <row r="12" spans="1:16" x14ac:dyDescent="0.35">
      <c r="A12" t="s">
        <v>57</v>
      </c>
      <c r="B12" s="1">
        <v>45563</v>
      </c>
      <c r="C12" t="s">
        <v>20</v>
      </c>
      <c r="D12" t="s">
        <v>21</v>
      </c>
      <c r="E12" t="s">
        <v>22</v>
      </c>
      <c r="F12" t="s">
        <v>52</v>
      </c>
      <c r="G12" t="s">
        <v>49</v>
      </c>
      <c r="H12">
        <v>15</v>
      </c>
      <c r="I12">
        <v>231.34</v>
      </c>
      <c r="J12" s="2">
        <v>0</v>
      </c>
      <c r="K12" t="s">
        <v>18</v>
      </c>
      <c r="L12">
        <v>3470.1</v>
      </c>
      <c r="M12" t="str">
        <f>TEXT(Table1[[#This Row],[OrderDate]], "mmm")</f>
        <v>Sep</v>
      </c>
      <c r="N12" t="str">
        <f>IF(Table1[[#This Row],[TotalSales]]&gt;50000,"High",IF(L12&gt;20000,"Medium","Low"))</f>
        <v>Low</v>
      </c>
      <c r="O12">
        <f>Table1[[#This Row],[TotalSales]]/Table1[[#This Row],[Quantity]]</f>
        <v>231.34</v>
      </c>
      <c r="P12" t="s">
        <v>1260</v>
      </c>
    </row>
    <row r="13" spans="1:16" x14ac:dyDescent="0.35">
      <c r="A13" t="s">
        <v>58</v>
      </c>
      <c r="B13" s="1">
        <v>45540</v>
      </c>
      <c r="C13" t="s">
        <v>46</v>
      </c>
      <c r="D13" t="s">
        <v>47</v>
      </c>
      <c r="E13" t="s">
        <v>15</v>
      </c>
      <c r="F13" t="s">
        <v>59</v>
      </c>
      <c r="G13" t="s">
        <v>24</v>
      </c>
      <c r="H13">
        <v>14</v>
      </c>
      <c r="I13">
        <v>3992.85</v>
      </c>
      <c r="J13" s="2">
        <v>0.2</v>
      </c>
      <c r="K13" t="s">
        <v>44</v>
      </c>
      <c r="L13">
        <v>44719.92</v>
      </c>
      <c r="M13" t="str">
        <f>TEXT(Table1[[#This Row],[OrderDate]], "mmm")</f>
        <v>Sep</v>
      </c>
      <c r="N13" t="str">
        <f>IF(Table1[[#This Row],[TotalSales]]&gt;50000,"High",IF(L13&gt;20000,"Medium","Low"))</f>
        <v>Medium</v>
      </c>
      <c r="O13">
        <f>Table1[[#This Row],[TotalSales]]/Table1[[#This Row],[Quantity]]</f>
        <v>3194.2799999999997</v>
      </c>
    </row>
    <row r="14" spans="1:16" x14ac:dyDescent="0.35">
      <c r="A14" t="s">
        <v>60</v>
      </c>
      <c r="B14" s="1">
        <v>45451</v>
      </c>
      <c r="C14" t="s">
        <v>20</v>
      </c>
      <c r="D14" t="s">
        <v>21</v>
      </c>
      <c r="E14" t="s">
        <v>34</v>
      </c>
      <c r="F14" t="s">
        <v>61</v>
      </c>
      <c r="G14" t="s">
        <v>17</v>
      </c>
      <c r="H14">
        <v>7</v>
      </c>
      <c r="I14">
        <v>54734.18</v>
      </c>
      <c r="J14" s="2">
        <v>0.15</v>
      </c>
      <c r="K14" t="s">
        <v>44</v>
      </c>
      <c r="L14">
        <v>325668.37</v>
      </c>
      <c r="M14" t="str">
        <f>TEXT(Table1[[#This Row],[OrderDate]], "mmm")</f>
        <v>Jun</v>
      </c>
      <c r="N14" t="str">
        <f>IF(Table1[[#This Row],[TotalSales]]&gt;50000,"High",IF(L14&gt;20000,"Medium","Low"))</f>
        <v>High</v>
      </c>
      <c r="O14">
        <f>Table1[[#This Row],[TotalSales]]/Table1[[#This Row],[Quantity]]</f>
        <v>46524.052857142859</v>
      </c>
    </row>
    <row r="15" spans="1:16" x14ac:dyDescent="0.35">
      <c r="A15" t="s">
        <v>62</v>
      </c>
      <c r="B15" s="1">
        <v>45328</v>
      </c>
      <c r="C15" t="s">
        <v>20</v>
      </c>
      <c r="D15" t="s">
        <v>27</v>
      </c>
      <c r="E15" t="s">
        <v>15</v>
      </c>
      <c r="F15" t="s">
        <v>59</v>
      </c>
      <c r="G15" t="s">
        <v>49</v>
      </c>
      <c r="H15">
        <v>12</v>
      </c>
      <c r="I15">
        <v>34784.44</v>
      </c>
      <c r="J15" s="2">
        <v>0</v>
      </c>
      <c r="K15" t="s">
        <v>25</v>
      </c>
      <c r="L15">
        <v>417413.28</v>
      </c>
      <c r="M15" t="str">
        <f>TEXT(Table1[[#This Row],[OrderDate]], "mmm")</f>
        <v>Feb</v>
      </c>
      <c r="N15" t="str">
        <f>IF(Table1[[#This Row],[TotalSales]]&gt;50000,"High",IF(L15&gt;20000,"Medium","Low"))</f>
        <v>High</v>
      </c>
      <c r="O15">
        <f>Table1[[#This Row],[TotalSales]]/Table1[[#This Row],[Quantity]]</f>
        <v>34784.44</v>
      </c>
    </row>
    <row r="16" spans="1:16" x14ac:dyDescent="0.35">
      <c r="A16" t="s">
        <v>63</v>
      </c>
      <c r="B16" s="1">
        <v>45534</v>
      </c>
      <c r="C16" t="s">
        <v>40</v>
      </c>
      <c r="D16" t="s">
        <v>55</v>
      </c>
      <c r="E16" t="s">
        <v>22</v>
      </c>
      <c r="F16" t="s">
        <v>42</v>
      </c>
      <c r="G16" t="s">
        <v>43</v>
      </c>
      <c r="H16">
        <v>13</v>
      </c>
      <c r="I16">
        <v>22506.89</v>
      </c>
      <c r="J16" s="2">
        <v>0</v>
      </c>
      <c r="K16" t="s">
        <v>31</v>
      </c>
      <c r="L16">
        <v>292589.57</v>
      </c>
      <c r="M16" t="str">
        <f>TEXT(Table1[[#This Row],[OrderDate]], "mmm")</f>
        <v>Aug</v>
      </c>
      <c r="N16" t="str">
        <f>IF(Table1[[#This Row],[TotalSales]]&gt;50000,"High",IF(L16&gt;20000,"Medium","Low"))</f>
        <v>High</v>
      </c>
      <c r="O16">
        <f>Table1[[#This Row],[TotalSales]]/Table1[[#This Row],[Quantity]]</f>
        <v>22506.89</v>
      </c>
    </row>
    <row r="17" spans="1:15" x14ac:dyDescent="0.35">
      <c r="A17" t="s">
        <v>64</v>
      </c>
      <c r="B17" s="1">
        <v>45419</v>
      </c>
      <c r="C17" t="s">
        <v>13</v>
      </c>
      <c r="D17" t="s">
        <v>14</v>
      </c>
      <c r="E17" t="s">
        <v>15</v>
      </c>
      <c r="F17" t="s">
        <v>38</v>
      </c>
      <c r="G17" t="s">
        <v>17</v>
      </c>
      <c r="H17">
        <v>4</v>
      </c>
      <c r="I17">
        <v>10623.45</v>
      </c>
      <c r="J17" s="2">
        <v>0.05</v>
      </c>
      <c r="K17" t="s">
        <v>25</v>
      </c>
      <c r="L17">
        <v>40369.11</v>
      </c>
      <c r="M17" t="str">
        <f>TEXT(Table1[[#This Row],[OrderDate]], "mmm")</f>
        <v>May</v>
      </c>
      <c r="N17" t="str">
        <f>IF(Table1[[#This Row],[TotalSales]]&gt;50000,"High",IF(L17&gt;20000,"Medium","Low"))</f>
        <v>Medium</v>
      </c>
      <c r="O17">
        <f>Table1[[#This Row],[TotalSales]]/Table1[[#This Row],[Quantity]]</f>
        <v>10092.2775</v>
      </c>
    </row>
    <row r="18" spans="1:15" x14ac:dyDescent="0.35">
      <c r="A18" t="s">
        <v>65</v>
      </c>
      <c r="B18" s="1">
        <v>45413</v>
      </c>
      <c r="C18" t="s">
        <v>46</v>
      </c>
      <c r="D18" t="s">
        <v>47</v>
      </c>
      <c r="E18" t="s">
        <v>15</v>
      </c>
      <c r="F18" t="s">
        <v>16</v>
      </c>
      <c r="G18" t="s">
        <v>66</v>
      </c>
      <c r="H18">
        <v>3</v>
      </c>
      <c r="I18">
        <v>22471.49</v>
      </c>
      <c r="J18" s="2">
        <v>0.05</v>
      </c>
      <c r="K18" t="s">
        <v>44</v>
      </c>
      <c r="L18">
        <v>64043.75</v>
      </c>
      <c r="M18" t="str">
        <f>TEXT(Table1[[#This Row],[OrderDate]], "mmm")</f>
        <v>May</v>
      </c>
      <c r="N18" t="str">
        <f>IF(Table1[[#This Row],[TotalSales]]&gt;50000,"High",IF(L18&gt;20000,"Medium","Low"))</f>
        <v>High</v>
      </c>
      <c r="O18">
        <f>Table1[[#This Row],[TotalSales]]/Table1[[#This Row],[Quantity]]</f>
        <v>21347.916666666668</v>
      </c>
    </row>
    <row r="19" spans="1:15" x14ac:dyDescent="0.35">
      <c r="A19" t="s">
        <v>67</v>
      </c>
      <c r="B19" s="1">
        <v>45576</v>
      </c>
      <c r="C19" t="s">
        <v>40</v>
      </c>
      <c r="D19" t="s">
        <v>51</v>
      </c>
      <c r="E19" t="s">
        <v>34</v>
      </c>
      <c r="F19" t="s">
        <v>48</v>
      </c>
      <c r="G19" t="s">
        <v>43</v>
      </c>
      <c r="H19">
        <v>11</v>
      </c>
      <c r="I19">
        <v>39568.769999999997</v>
      </c>
      <c r="J19" s="2">
        <v>0</v>
      </c>
      <c r="K19" t="s">
        <v>44</v>
      </c>
      <c r="L19">
        <v>435256.47</v>
      </c>
      <c r="M19" t="str">
        <f>TEXT(Table1[[#This Row],[OrderDate]], "mmm")</f>
        <v>Oct</v>
      </c>
      <c r="N19" t="str">
        <f>IF(Table1[[#This Row],[TotalSales]]&gt;50000,"High",IF(L19&gt;20000,"Medium","Low"))</f>
        <v>High</v>
      </c>
      <c r="O19">
        <f>Table1[[#This Row],[TotalSales]]/Table1[[#This Row],[Quantity]]</f>
        <v>39568.769999999997</v>
      </c>
    </row>
    <row r="20" spans="1:15" x14ac:dyDescent="0.35">
      <c r="A20" t="s">
        <v>68</v>
      </c>
      <c r="B20" s="1">
        <v>45563</v>
      </c>
      <c r="C20" t="s">
        <v>40</v>
      </c>
      <c r="D20" t="s">
        <v>51</v>
      </c>
      <c r="E20" t="s">
        <v>15</v>
      </c>
      <c r="F20" t="s">
        <v>16</v>
      </c>
      <c r="G20" t="s">
        <v>69</v>
      </c>
      <c r="H20">
        <v>3</v>
      </c>
      <c r="I20">
        <v>3317</v>
      </c>
      <c r="J20" s="2">
        <v>0.1</v>
      </c>
      <c r="K20" t="s">
        <v>25</v>
      </c>
      <c r="L20">
        <v>8955.9</v>
      </c>
      <c r="M20" t="str">
        <f>TEXT(Table1[[#This Row],[OrderDate]], "mmm")</f>
        <v>Sep</v>
      </c>
      <c r="N20" t="str">
        <f>IF(Table1[[#This Row],[TotalSales]]&gt;50000,"High",IF(L20&gt;20000,"Medium","Low"))</f>
        <v>Low</v>
      </c>
      <c r="O20">
        <f>Table1[[#This Row],[TotalSales]]/Table1[[#This Row],[Quantity]]</f>
        <v>2985.2999999999997</v>
      </c>
    </row>
    <row r="21" spans="1:15" x14ac:dyDescent="0.35">
      <c r="A21" t="s">
        <v>70</v>
      </c>
      <c r="B21" s="1">
        <v>45333</v>
      </c>
      <c r="C21" t="s">
        <v>46</v>
      </c>
      <c r="D21" t="s">
        <v>71</v>
      </c>
      <c r="E21" t="s">
        <v>15</v>
      </c>
      <c r="F21" t="s">
        <v>59</v>
      </c>
      <c r="G21" t="s">
        <v>69</v>
      </c>
      <c r="H21">
        <v>7</v>
      </c>
      <c r="I21">
        <v>36224.050000000003</v>
      </c>
      <c r="J21" s="2">
        <v>0.1</v>
      </c>
      <c r="K21" t="s">
        <v>44</v>
      </c>
      <c r="L21">
        <v>228211.52</v>
      </c>
      <c r="M21" t="str">
        <f>TEXT(Table1[[#This Row],[OrderDate]], "mmm")</f>
        <v>Feb</v>
      </c>
      <c r="N21" t="str">
        <f>IF(Table1[[#This Row],[TotalSales]]&gt;50000,"High",IF(L21&gt;20000,"Medium","Low"))</f>
        <v>High</v>
      </c>
      <c r="O21">
        <f>Table1[[#This Row],[TotalSales]]/Table1[[#This Row],[Quantity]]</f>
        <v>32601.645714285714</v>
      </c>
    </row>
    <row r="22" spans="1:15" x14ac:dyDescent="0.35">
      <c r="A22" t="s">
        <v>72</v>
      </c>
      <c r="B22" s="1">
        <v>45453</v>
      </c>
      <c r="C22" t="s">
        <v>13</v>
      </c>
      <c r="D22" t="s">
        <v>37</v>
      </c>
      <c r="E22" t="s">
        <v>34</v>
      </c>
      <c r="F22" t="s">
        <v>61</v>
      </c>
      <c r="G22" t="s">
        <v>69</v>
      </c>
      <c r="H22">
        <v>15</v>
      </c>
      <c r="I22">
        <v>41402.17</v>
      </c>
      <c r="J22" s="2">
        <v>0</v>
      </c>
      <c r="K22" t="s">
        <v>44</v>
      </c>
      <c r="L22">
        <v>621032.55000000005</v>
      </c>
      <c r="M22" t="str">
        <f>TEXT(Table1[[#This Row],[OrderDate]], "mmm")</f>
        <v>Jun</v>
      </c>
      <c r="N22" t="str">
        <f>IF(Table1[[#This Row],[TotalSales]]&gt;50000,"High",IF(L22&gt;20000,"Medium","Low"))</f>
        <v>High</v>
      </c>
      <c r="O22">
        <f>Table1[[#This Row],[TotalSales]]/Table1[[#This Row],[Quantity]]</f>
        <v>41402.170000000006</v>
      </c>
    </row>
    <row r="23" spans="1:15" x14ac:dyDescent="0.35">
      <c r="A23" t="s">
        <v>73</v>
      </c>
      <c r="B23" s="1">
        <v>45481</v>
      </c>
      <c r="C23" t="s">
        <v>46</v>
      </c>
      <c r="D23" t="s">
        <v>47</v>
      </c>
      <c r="E23" t="s">
        <v>22</v>
      </c>
      <c r="F23" t="s">
        <v>52</v>
      </c>
      <c r="G23" t="s">
        <v>43</v>
      </c>
      <c r="H23">
        <v>5</v>
      </c>
      <c r="I23">
        <v>8844.5300000000007</v>
      </c>
      <c r="J23" s="2">
        <v>0.2</v>
      </c>
      <c r="K23" t="s">
        <v>44</v>
      </c>
      <c r="L23">
        <v>35378.120000000003</v>
      </c>
      <c r="M23" t="str">
        <f>TEXT(Table1[[#This Row],[OrderDate]], "mmm")</f>
        <v>Jul</v>
      </c>
      <c r="N23" t="str">
        <f>IF(Table1[[#This Row],[TotalSales]]&gt;50000,"High",IF(L23&gt;20000,"Medium","Low"))</f>
        <v>Medium</v>
      </c>
      <c r="O23">
        <f>Table1[[#This Row],[TotalSales]]/Table1[[#This Row],[Quantity]]</f>
        <v>7075.6240000000007</v>
      </c>
    </row>
    <row r="24" spans="1:15" x14ac:dyDescent="0.35">
      <c r="A24" t="s">
        <v>74</v>
      </c>
      <c r="B24" s="1">
        <v>45346</v>
      </c>
      <c r="C24" t="s">
        <v>13</v>
      </c>
      <c r="D24" t="s">
        <v>14</v>
      </c>
      <c r="E24" t="s">
        <v>15</v>
      </c>
      <c r="F24" t="s">
        <v>59</v>
      </c>
      <c r="G24" t="s">
        <v>49</v>
      </c>
      <c r="H24">
        <v>12</v>
      </c>
      <c r="I24">
        <v>30516.66</v>
      </c>
      <c r="J24" s="2">
        <v>0</v>
      </c>
      <c r="K24" t="s">
        <v>25</v>
      </c>
      <c r="L24">
        <v>366199.92</v>
      </c>
      <c r="M24" t="str">
        <f>TEXT(Table1[[#This Row],[OrderDate]], "mmm")</f>
        <v>Feb</v>
      </c>
      <c r="N24" t="str">
        <f>IF(Table1[[#This Row],[TotalSales]]&gt;50000,"High",IF(L24&gt;20000,"Medium","Low"))</f>
        <v>High</v>
      </c>
      <c r="O24">
        <f>Table1[[#This Row],[TotalSales]]/Table1[[#This Row],[Quantity]]</f>
        <v>30516.66</v>
      </c>
    </row>
    <row r="25" spans="1:15" x14ac:dyDescent="0.35">
      <c r="A25" t="s">
        <v>75</v>
      </c>
      <c r="B25" s="1">
        <v>45508</v>
      </c>
      <c r="C25" t="s">
        <v>46</v>
      </c>
      <c r="D25" t="s">
        <v>71</v>
      </c>
      <c r="E25" t="s">
        <v>28</v>
      </c>
      <c r="F25" t="s">
        <v>76</v>
      </c>
      <c r="G25" t="s">
        <v>30</v>
      </c>
      <c r="H25">
        <v>14</v>
      </c>
      <c r="I25">
        <v>15362.08</v>
      </c>
      <c r="J25" s="2">
        <v>0</v>
      </c>
      <c r="K25" t="s">
        <v>25</v>
      </c>
      <c r="L25">
        <v>215069.12</v>
      </c>
      <c r="M25" t="str">
        <f>TEXT(Table1[[#This Row],[OrderDate]], "mmm")</f>
        <v>Aug</v>
      </c>
      <c r="N25" t="str">
        <f>IF(Table1[[#This Row],[TotalSales]]&gt;50000,"High",IF(L25&gt;20000,"Medium","Low"))</f>
        <v>High</v>
      </c>
      <c r="O25">
        <f>Table1[[#This Row],[TotalSales]]/Table1[[#This Row],[Quantity]]</f>
        <v>15362.08</v>
      </c>
    </row>
    <row r="26" spans="1:15" x14ac:dyDescent="0.35">
      <c r="A26" t="s">
        <v>77</v>
      </c>
      <c r="B26" s="1">
        <v>45368</v>
      </c>
      <c r="C26" t="s">
        <v>46</v>
      </c>
      <c r="D26" t="s">
        <v>71</v>
      </c>
      <c r="E26" t="s">
        <v>15</v>
      </c>
      <c r="F26" t="s">
        <v>16</v>
      </c>
      <c r="G26" t="s">
        <v>43</v>
      </c>
      <c r="H26">
        <v>9</v>
      </c>
      <c r="I26">
        <v>2174.34</v>
      </c>
      <c r="J26" s="2">
        <v>0</v>
      </c>
      <c r="K26" t="s">
        <v>44</v>
      </c>
      <c r="L26">
        <v>19569.060000000001</v>
      </c>
      <c r="M26" t="str">
        <f>TEXT(Table1[[#This Row],[OrderDate]], "mmm")</f>
        <v>Mar</v>
      </c>
      <c r="N26" t="str">
        <f>IF(Table1[[#This Row],[TotalSales]]&gt;50000,"High",IF(L26&gt;20000,"Medium","Low"))</f>
        <v>Low</v>
      </c>
      <c r="O26">
        <f>Table1[[#This Row],[TotalSales]]/Table1[[#This Row],[Quantity]]</f>
        <v>2174.34</v>
      </c>
    </row>
    <row r="27" spans="1:15" x14ac:dyDescent="0.35">
      <c r="A27" t="s">
        <v>78</v>
      </c>
      <c r="B27" s="1">
        <v>45578</v>
      </c>
      <c r="C27" t="s">
        <v>46</v>
      </c>
      <c r="D27" t="s">
        <v>79</v>
      </c>
      <c r="E27" t="s">
        <v>22</v>
      </c>
      <c r="F27" t="s">
        <v>42</v>
      </c>
      <c r="G27" t="s">
        <v>24</v>
      </c>
      <c r="H27">
        <v>15</v>
      </c>
      <c r="I27">
        <v>48134.26</v>
      </c>
      <c r="J27" s="2">
        <v>0.1</v>
      </c>
      <c r="K27" t="s">
        <v>25</v>
      </c>
      <c r="L27">
        <v>649812.51</v>
      </c>
      <c r="M27" t="str">
        <f>TEXT(Table1[[#This Row],[OrderDate]], "mmm")</f>
        <v>Oct</v>
      </c>
      <c r="N27" t="str">
        <f>IF(Table1[[#This Row],[TotalSales]]&gt;50000,"High",IF(L27&gt;20000,"Medium","Low"))</f>
        <v>High</v>
      </c>
      <c r="O27">
        <f>Table1[[#This Row],[TotalSales]]/Table1[[#This Row],[Quantity]]</f>
        <v>43320.834000000003</v>
      </c>
    </row>
    <row r="28" spans="1:15" x14ac:dyDescent="0.35">
      <c r="A28" t="s">
        <v>80</v>
      </c>
      <c r="B28" s="1">
        <v>45634</v>
      </c>
      <c r="C28" t="s">
        <v>13</v>
      </c>
      <c r="D28" t="s">
        <v>37</v>
      </c>
      <c r="E28" t="s">
        <v>15</v>
      </c>
      <c r="F28" t="s">
        <v>59</v>
      </c>
      <c r="G28" t="s">
        <v>30</v>
      </c>
      <c r="H28">
        <v>14</v>
      </c>
      <c r="I28">
        <v>40481.15</v>
      </c>
      <c r="J28" s="2">
        <v>0</v>
      </c>
      <c r="K28" t="s">
        <v>18</v>
      </c>
      <c r="L28">
        <v>566736.1</v>
      </c>
      <c r="M28" t="str">
        <f>TEXT(Table1[[#This Row],[OrderDate]], "mmm")</f>
        <v>Dec</v>
      </c>
      <c r="N28" t="str">
        <f>IF(Table1[[#This Row],[TotalSales]]&gt;50000,"High",IF(L28&gt;20000,"Medium","Low"))</f>
        <v>High</v>
      </c>
      <c r="O28">
        <f>Table1[[#This Row],[TotalSales]]/Table1[[#This Row],[Quantity]]</f>
        <v>40481.15</v>
      </c>
    </row>
    <row r="29" spans="1:15" x14ac:dyDescent="0.35">
      <c r="A29" t="s">
        <v>81</v>
      </c>
      <c r="B29" s="1">
        <v>45408</v>
      </c>
      <c r="C29" t="s">
        <v>13</v>
      </c>
      <c r="D29" t="s">
        <v>37</v>
      </c>
      <c r="E29" t="s">
        <v>22</v>
      </c>
      <c r="F29" t="s">
        <v>82</v>
      </c>
      <c r="G29" t="s">
        <v>83</v>
      </c>
      <c r="H29">
        <v>4</v>
      </c>
      <c r="I29">
        <v>1496.81</v>
      </c>
      <c r="J29" s="2">
        <v>0</v>
      </c>
      <c r="K29" t="s">
        <v>25</v>
      </c>
      <c r="L29">
        <v>5987.24</v>
      </c>
      <c r="M29" t="str">
        <f>TEXT(Table1[[#This Row],[OrderDate]], "mmm")</f>
        <v>Apr</v>
      </c>
      <c r="N29" t="str">
        <f>IF(Table1[[#This Row],[TotalSales]]&gt;50000,"High",IF(L29&gt;20000,"Medium","Low"))</f>
        <v>Low</v>
      </c>
      <c r="O29">
        <f>Table1[[#This Row],[TotalSales]]/Table1[[#This Row],[Quantity]]</f>
        <v>1496.81</v>
      </c>
    </row>
    <row r="30" spans="1:15" x14ac:dyDescent="0.35">
      <c r="A30" t="s">
        <v>84</v>
      </c>
      <c r="B30" s="1">
        <v>45383</v>
      </c>
      <c r="C30" t="s">
        <v>46</v>
      </c>
      <c r="D30" t="s">
        <v>79</v>
      </c>
      <c r="E30" t="s">
        <v>28</v>
      </c>
      <c r="F30" t="s">
        <v>76</v>
      </c>
      <c r="G30" t="s">
        <v>66</v>
      </c>
      <c r="H30">
        <v>10</v>
      </c>
      <c r="I30">
        <v>52946.879999999997</v>
      </c>
      <c r="J30" s="2">
        <v>0</v>
      </c>
      <c r="K30" t="s">
        <v>31</v>
      </c>
      <c r="L30">
        <v>529468.80000000005</v>
      </c>
      <c r="M30" t="str">
        <f>TEXT(Table1[[#This Row],[OrderDate]], "mmm")</f>
        <v>Apr</v>
      </c>
      <c r="N30" t="str">
        <f>IF(Table1[[#This Row],[TotalSales]]&gt;50000,"High",IF(L30&gt;20000,"Medium","Low"))</f>
        <v>High</v>
      </c>
      <c r="O30">
        <f>Table1[[#This Row],[TotalSales]]/Table1[[#This Row],[Quantity]]</f>
        <v>52946.880000000005</v>
      </c>
    </row>
    <row r="31" spans="1:15" x14ac:dyDescent="0.35">
      <c r="A31" t="s">
        <v>85</v>
      </c>
      <c r="B31" s="1">
        <v>45654</v>
      </c>
      <c r="C31" t="s">
        <v>13</v>
      </c>
      <c r="D31" t="s">
        <v>14</v>
      </c>
      <c r="E31" t="s">
        <v>34</v>
      </c>
      <c r="F31" t="s">
        <v>61</v>
      </c>
      <c r="G31" t="s">
        <v>83</v>
      </c>
      <c r="H31">
        <v>7</v>
      </c>
      <c r="I31">
        <v>292.68</v>
      </c>
      <c r="J31" s="2">
        <v>0.2</v>
      </c>
      <c r="K31" t="s">
        <v>25</v>
      </c>
      <c r="L31">
        <v>1639.01</v>
      </c>
      <c r="M31" t="str">
        <f>TEXT(Table1[[#This Row],[OrderDate]], "mmm")</f>
        <v>Dec</v>
      </c>
      <c r="N31" t="str">
        <f>IF(Table1[[#This Row],[TotalSales]]&gt;50000,"High",IF(L31&gt;20000,"Medium","Low"))</f>
        <v>Low</v>
      </c>
      <c r="O31">
        <f>Table1[[#This Row],[TotalSales]]/Table1[[#This Row],[Quantity]]</f>
        <v>234.1442857142857</v>
      </c>
    </row>
    <row r="32" spans="1:15" x14ac:dyDescent="0.35">
      <c r="A32" t="s">
        <v>86</v>
      </c>
      <c r="B32" s="1">
        <v>45355</v>
      </c>
      <c r="C32" t="s">
        <v>13</v>
      </c>
      <c r="D32" t="s">
        <v>33</v>
      </c>
      <c r="E32" t="s">
        <v>15</v>
      </c>
      <c r="F32" t="s">
        <v>56</v>
      </c>
      <c r="G32" t="s">
        <v>24</v>
      </c>
      <c r="H32">
        <v>12</v>
      </c>
      <c r="I32">
        <v>49522.57</v>
      </c>
      <c r="J32" s="2">
        <v>0.1</v>
      </c>
      <c r="K32" t="s">
        <v>18</v>
      </c>
      <c r="L32">
        <v>534843.76</v>
      </c>
      <c r="M32" t="str">
        <f>TEXT(Table1[[#This Row],[OrderDate]], "mmm")</f>
        <v>Mar</v>
      </c>
      <c r="N32" t="str">
        <f>IF(Table1[[#This Row],[TotalSales]]&gt;50000,"High",IF(L32&gt;20000,"Medium","Low"))</f>
        <v>High</v>
      </c>
      <c r="O32">
        <f>Table1[[#This Row],[TotalSales]]/Table1[[#This Row],[Quantity]]</f>
        <v>44570.313333333332</v>
      </c>
    </row>
    <row r="33" spans="1:15" x14ac:dyDescent="0.35">
      <c r="A33" t="s">
        <v>87</v>
      </c>
      <c r="B33" s="1">
        <v>45583</v>
      </c>
      <c r="C33" t="s">
        <v>20</v>
      </c>
      <c r="D33" t="s">
        <v>21</v>
      </c>
      <c r="E33" t="s">
        <v>34</v>
      </c>
      <c r="F33" t="s">
        <v>88</v>
      </c>
      <c r="G33" t="s">
        <v>83</v>
      </c>
      <c r="H33">
        <v>5</v>
      </c>
      <c r="I33">
        <v>22452.92</v>
      </c>
      <c r="J33" s="2">
        <v>0.2</v>
      </c>
      <c r="K33" t="s">
        <v>25</v>
      </c>
      <c r="L33">
        <v>89811.68</v>
      </c>
      <c r="M33" t="str">
        <f>TEXT(Table1[[#This Row],[OrderDate]], "mmm")</f>
        <v>Oct</v>
      </c>
      <c r="N33" t="str">
        <f>IF(Table1[[#This Row],[TotalSales]]&gt;50000,"High",IF(L33&gt;20000,"Medium","Low"))</f>
        <v>High</v>
      </c>
      <c r="O33">
        <f>Table1[[#This Row],[TotalSales]]/Table1[[#This Row],[Quantity]]</f>
        <v>17962.335999999999</v>
      </c>
    </row>
    <row r="34" spans="1:15" x14ac:dyDescent="0.35">
      <c r="A34" t="s">
        <v>89</v>
      </c>
      <c r="B34" s="1">
        <v>45534</v>
      </c>
      <c r="C34" t="s">
        <v>20</v>
      </c>
      <c r="D34" t="s">
        <v>21</v>
      </c>
      <c r="E34" t="s">
        <v>34</v>
      </c>
      <c r="F34" t="s">
        <v>88</v>
      </c>
      <c r="G34" t="s">
        <v>83</v>
      </c>
      <c r="H34">
        <v>13</v>
      </c>
      <c r="I34">
        <v>49584.71</v>
      </c>
      <c r="J34" s="2">
        <v>0.2</v>
      </c>
      <c r="K34" t="s">
        <v>31</v>
      </c>
      <c r="L34">
        <v>515680.98</v>
      </c>
      <c r="M34" t="str">
        <f>TEXT(Table1[[#This Row],[OrderDate]], "mmm")</f>
        <v>Aug</v>
      </c>
      <c r="N34" t="str">
        <f>IF(Table1[[#This Row],[TotalSales]]&gt;50000,"High",IF(L34&gt;20000,"Medium","Low"))</f>
        <v>High</v>
      </c>
      <c r="O34">
        <f>Table1[[#This Row],[TotalSales]]/Table1[[#This Row],[Quantity]]</f>
        <v>39667.767692307694</v>
      </c>
    </row>
    <row r="35" spans="1:15" x14ac:dyDescent="0.35">
      <c r="A35" t="s">
        <v>90</v>
      </c>
      <c r="B35" s="1">
        <v>45367</v>
      </c>
      <c r="C35" t="s">
        <v>20</v>
      </c>
      <c r="D35" t="s">
        <v>27</v>
      </c>
      <c r="E35" t="s">
        <v>22</v>
      </c>
      <c r="F35" t="s">
        <v>52</v>
      </c>
      <c r="G35" t="s">
        <v>69</v>
      </c>
      <c r="H35">
        <v>1</v>
      </c>
      <c r="I35">
        <v>2732.51</v>
      </c>
      <c r="J35" s="2">
        <v>0.05</v>
      </c>
      <c r="K35" t="s">
        <v>25</v>
      </c>
      <c r="L35">
        <v>2595.88</v>
      </c>
      <c r="M35" t="str">
        <f>TEXT(Table1[[#This Row],[OrderDate]], "mmm")</f>
        <v>Mar</v>
      </c>
      <c r="N35" t="str">
        <f>IF(Table1[[#This Row],[TotalSales]]&gt;50000,"High",IF(L35&gt;20000,"Medium","Low"))</f>
        <v>Low</v>
      </c>
      <c r="O35">
        <f>Table1[[#This Row],[TotalSales]]/Table1[[#This Row],[Quantity]]</f>
        <v>2595.88</v>
      </c>
    </row>
    <row r="36" spans="1:15" x14ac:dyDescent="0.35">
      <c r="A36" t="s">
        <v>91</v>
      </c>
      <c r="B36" s="1">
        <v>45627</v>
      </c>
      <c r="C36" t="s">
        <v>20</v>
      </c>
      <c r="D36" t="s">
        <v>27</v>
      </c>
      <c r="E36" t="s">
        <v>34</v>
      </c>
      <c r="F36" t="s">
        <v>88</v>
      </c>
      <c r="G36" t="s">
        <v>30</v>
      </c>
      <c r="H36">
        <v>12</v>
      </c>
      <c r="I36">
        <v>503.86</v>
      </c>
      <c r="J36" s="2">
        <v>0.2</v>
      </c>
      <c r="K36" t="s">
        <v>31</v>
      </c>
      <c r="L36">
        <v>4837.0600000000004</v>
      </c>
      <c r="M36" t="str">
        <f>TEXT(Table1[[#This Row],[OrderDate]], "mmm")</f>
        <v>Dec</v>
      </c>
      <c r="N36" t="str">
        <f>IF(Table1[[#This Row],[TotalSales]]&gt;50000,"High",IF(L36&gt;20000,"Medium","Low"))</f>
        <v>Low</v>
      </c>
      <c r="O36">
        <f>Table1[[#This Row],[TotalSales]]/Table1[[#This Row],[Quantity]]</f>
        <v>403.08833333333337</v>
      </c>
    </row>
    <row r="37" spans="1:15" x14ac:dyDescent="0.35">
      <c r="A37" t="s">
        <v>92</v>
      </c>
      <c r="B37" s="1">
        <v>45529</v>
      </c>
      <c r="C37" t="s">
        <v>40</v>
      </c>
      <c r="D37" t="s">
        <v>55</v>
      </c>
      <c r="E37" t="s">
        <v>22</v>
      </c>
      <c r="F37" t="s">
        <v>23</v>
      </c>
      <c r="G37" t="s">
        <v>66</v>
      </c>
      <c r="H37">
        <v>11</v>
      </c>
      <c r="I37">
        <v>29306.03</v>
      </c>
      <c r="J37" s="2">
        <v>0.1</v>
      </c>
      <c r="K37" t="s">
        <v>25</v>
      </c>
      <c r="L37">
        <v>290129.7</v>
      </c>
      <c r="M37" t="str">
        <f>TEXT(Table1[[#This Row],[OrderDate]], "mmm")</f>
        <v>Aug</v>
      </c>
      <c r="N37" t="str">
        <f>IF(Table1[[#This Row],[TotalSales]]&gt;50000,"High",IF(L37&gt;20000,"Medium","Low"))</f>
        <v>High</v>
      </c>
      <c r="O37">
        <f>Table1[[#This Row],[TotalSales]]/Table1[[#This Row],[Quantity]]</f>
        <v>26375.427272727273</v>
      </c>
    </row>
    <row r="38" spans="1:15" x14ac:dyDescent="0.35">
      <c r="A38" t="s">
        <v>93</v>
      </c>
      <c r="B38" s="1">
        <v>45418</v>
      </c>
      <c r="C38" t="s">
        <v>40</v>
      </c>
      <c r="D38" t="s">
        <v>41</v>
      </c>
      <c r="E38" t="s">
        <v>22</v>
      </c>
      <c r="F38" t="s">
        <v>82</v>
      </c>
      <c r="G38" t="s">
        <v>49</v>
      </c>
      <c r="H38">
        <v>14</v>
      </c>
      <c r="I38">
        <v>35143.85</v>
      </c>
      <c r="J38" s="2">
        <v>0.2</v>
      </c>
      <c r="K38" t="s">
        <v>18</v>
      </c>
      <c r="L38">
        <v>393611.12</v>
      </c>
      <c r="M38" t="str">
        <f>TEXT(Table1[[#This Row],[OrderDate]], "mmm")</f>
        <v>May</v>
      </c>
      <c r="N38" t="str">
        <f>IF(Table1[[#This Row],[TotalSales]]&gt;50000,"High",IF(L38&gt;20000,"Medium","Low"))</f>
        <v>High</v>
      </c>
      <c r="O38">
        <f>Table1[[#This Row],[TotalSales]]/Table1[[#This Row],[Quantity]]</f>
        <v>28115.079999999998</v>
      </c>
    </row>
    <row r="39" spans="1:15" x14ac:dyDescent="0.35">
      <c r="A39" t="s">
        <v>94</v>
      </c>
      <c r="B39" s="1">
        <v>45333</v>
      </c>
      <c r="C39" t="s">
        <v>13</v>
      </c>
      <c r="D39" t="s">
        <v>33</v>
      </c>
      <c r="E39" t="s">
        <v>28</v>
      </c>
      <c r="F39" t="s">
        <v>29</v>
      </c>
      <c r="G39" t="s">
        <v>30</v>
      </c>
      <c r="H39">
        <v>3</v>
      </c>
      <c r="I39">
        <v>8465.52</v>
      </c>
      <c r="J39" s="2">
        <v>0.05</v>
      </c>
      <c r="K39" t="s">
        <v>25</v>
      </c>
      <c r="L39">
        <v>24126.73</v>
      </c>
      <c r="M39" t="str">
        <f>TEXT(Table1[[#This Row],[OrderDate]], "mmm")</f>
        <v>Feb</v>
      </c>
      <c r="N39" t="str">
        <f>IF(Table1[[#This Row],[TotalSales]]&gt;50000,"High",IF(L39&gt;20000,"Medium","Low"))</f>
        <v>Medium</v>
      </c>
      <c r="O39">
        <f>Table1[[#This Row],[TotalSales]]/Table1[[#This Row],[Quantity]]</f>
        <v>8042.2433333333329</v>
      </c>
    </row>
    <row r="40" spans="1:15" x14ac:dyDescent="0.35">
      <c r="A40" t="s">
        <v>95</v>
      </c>
      <c r="B40" s="1">
        <v>45591</v>
      </c>
      <c r="C40" t="s">
        <v>40</v>
      </c>
      <c r="D40" t="s">
        <v>41</v>
      </c>
      <c r="E40" t="s">
        <v>15</v>
      </c>
      <c r="F40" t="s">
        <v>59</v>
      </c>
      <c r="G40" t="s">
        <v>66</v>
      </c>
      <c r="H40">
        <v>12</v>
      </c>
      <c r="I40">
        <v>1270.3499999999999</v>
      </c>
      <c r="J40" s="2">
        <v>0.2</v>
      </c>
      <c r="K40" t="s">
        <v>25</v>
      </c>
      <c r="L40">
        <v>12195.36</v>
      </c>
      <c r="M40" t="str">
        <f>TEXT(Table1[[#This Row],[OrderDate]], "mmm")</f>
        <v>Oct</v>
      </c>
      <c r="N40" t="str">
        <f>IF(Table1[[#This Row],[TotalSales]]&gt;50000,"High",IF(L40&gt;20000,"Medium","Low"))</f>
        <v>Low</v>
      </c>
      <c r="O40">
        <f>Table1[[#This Row],[TotalSales]]/Table1[[#This Row],[Quantity]]</f>
        <v>1016.2800000000001</v>
      </c>
    </row>
    <row r="41" spans="1:15" x14ac:dyDescent="0.35">
      <c r="A41" t="s">
        <v>96</v>
      </c>
      <c r="B41" s="1">
        <v>45515</v>
      </c>
      <c r="C41" t="s">
        <v>20</v>
      </c>
      <c r="D41" t="s">
        <v>97</v>
      </c>
      <c r="E41" t="s">
        <v>22</v>
      </c>
      <c r="F41" t="s">
        <v>82</v>
      </c>
      <c r="G41" t="s">
        <v>24</v>
      </c>
      <c r="H41">
        <v>8</v>
      </c>
      <c r="I41">
        <v>1790.56</v>
      </c>
      <c r="J41" s="2">
        <v>0</v>
      </c>
      <c r="K41" t="s">
        <v>31</v>
      </c>
      <c r="L41">
        <v>14324.48</v>
      </c>
      <c r="M41" t="str">
        <f>TEXT(Table1[[#This Row],[OrderDate]], "mmm")</f>
        <v>Aug</v>
      </c>
      <c r="N41" t="str">
        <f>IF(Table1[[#This Row],[TotalSales]]&gt;50000,"High",IF(L41&gt;20000,"Medium","Low"))</f>
        <v>Low</v>
      </c>
      <c r="O41">
        <f>Table1[[#This Row],[TotalSales]]/Table1[[#This Row],[Quantity]]</f>
        <v>1790.56</v>
      </c>
    </row>
    <row r="42" spans="1:15" x14ac:dyDescent="0.35">
      <c r="A42" t="s">
        <v>98</v>
      </c>
      <c r="B42" s="1">
        <v>45511</v>
      </c>
      <c r="C42" t="s">
        <v>46</v>
      </c>
      <c r="D42" t="s">
        <v>71</v>
      </c>
      <c r="E42" t="s">
        <v>34</v>
      </c>
      <c r="F42" t="s">
        <v>35</v>
      </c>
      <c r="G42" t="s">
        <v>66</v>
      </c>
      <c r="H42">
        <v>3</v>
      </c>
      <c r="I42">
        <v>47703.45</v>
      </c>
      <c r="J42" s="2">
        <v>0</v>
      </c>
      <c r="K42" t="s">
        <v>44</v>
      </c>
      <c r="L42">
        <v>143110.35</v>
      </c>
      <c r="M42" t="str">
        <f>TEXT(Table1[[#This Row],[OrderDate]], "mmm")</f>
        <v>Aug</v>
      </c>
      <c r="N42" t="str">
        <f>IF(Table1[[#This Row],[TotalSales]]&gt;50000,"High",IF(L42&gt;20000,"Medium","Low"))</f>
        <v>High</v>
      </c>
      <c r="O42">
        <f>Table1[[#This Row],[TotalSales]]/Table1[[#This Row],[Quantity]]</f>
        <v>47703.450000000004</v>
      </c>
    </row>
    <row r="43" spans="1:15" x14ac:dyDescent="0.35">
      <c r="A43" t="s">
        <v>99</v>
      </c>
      <c r="B43" s="1">
        <v>45301</v>
      </c>
      <c r="C43" t="s">
        <v>46</v>
      </c>
      <c r="D43" t="s">
        <v>79</v>
      </c>
      <c r="E43" t="s">
        <v>34</v>
      </c>
      <c r="F43" t="s">
        <v>48</v>
      </c>
      <c r="G43" t="s">
        <v>43</v>
      </c>
      <c r="H43">
        <v>12</v>
      </c>
      <c r="I43">
        <v>29760.16</v>
      </c>
      <c r="J43" s="2">
        <v>0</v>
      </c>
      <c r="K43" t="s">
        <v>18</v>
      </c>
      <c r="L43">
        <v>357121.92</v>
      </c>
      <c r="M43" t="str">
        <f>TEXT(Table1[[#This Row],[OrderDate]], "mmm")</f>
        <v>Jan</v>
      </c>
      <c r="N43" t="str">
        <f>IF(Table1[[#This Row],[TotalSales]]&gt;50000,"High",IF(L43&gt;20000,"Medium","Low"))</f>
        <v>High</v>
      </c>
      <c r="O43">
        <f>Table1[[#This Row],[TotalSales]]/Table1[[#This Row],[Quantity]]</f>
        <v>29760.16</v>
      </c>
    </row>
    <row r="44" spans="1:15" x14ac:dyDescent="0.35">
      <c r="A44" t="s">
        <v>100</v>
      </c>
      <c r="B44" s="1">
        <v>45356</v>
      </c>
      <c r="C44" t="s">
        <v>20</v>
      </c>
      <c r="D44" t="s">
        <v>27</v>
      </c>
      <c r="E44" t="s">
        <v>22</v>
      </c>
      <c r="F44" t="s">
        <v>23</v>
      </c>
      <c r="G44" t="s">
        <v>17</v>
      </c>
      <c r="H44">
        <v>8</v>
      </c>
      <c r="I44">
        <v>36886.339999999997</v>
      </c>
      <c r="J44" s="2">
        <v>0.1</v>
      </c>
      <c r="K44" t="s">
        <v>18</v>
      </c>
      <c r="L44">
        <v>265581.65000000002</v>
      </c>
      <c r="M44" t="str">
        <f>TEXT(Table1[[#This Row],[OrderDate]], "mmm")</f>
        <v>Mar</v>
      </c>
      <c r="N44" t="str">
        <f>IF(Table1[[#This Row],[TotalSales]]&gt;50000,"High",IF(L44&gt;20000,"Medium","Low"))</f>
        <v>High</v>
      </c>
      <c r="O44">
        <f>Table1[[#This Row],[TotalSales]]/Table1[[#This Row],[Quantity]]</f>
        <v>33197.706250000003</v>
      </c>
    </row>
    <row r="45" spans="1:15" x14ac:dyDescent="0.35">
      <c r="A45" t="s">
        <v>101</v>
      </c>
      <c r="B45" s="1">
        <v>45586</v>
      </c>
      <c r="C45" t="s">
        <v>46</v>
      </c>
      <c r="D45" t="s">
        <v>79</v>
      </c>
      <c r="E45" t="s">
        <v>28</v>
      </c>
      <c r="F45" t="s">
        <v>76</v>
      </c>
      <c r="G45" t="s">
        <v>69</v>
      </c>
      <c r="H45">
        <v>11</v>
      </c>
      <c r="I45">
        <v>49959.83</v>
      </c>
      <c r="J45" s="2">
        <v>0.05</v>
      </c>
      <c r="K45" t="s">
        <v>31</v>
      </c>
      <c r="L45">
        <v>522080.22</v>
      </c>
      <c r="M45" t="str">
        <f>TEXT(Table1[[#This Row],[OrderDate]], "mmm")</f>
        <v>Oct</v>
      </c>
      <c r="N45" t="str">
        <f>IF(Table1[[#This Row],[TotalSales]]&gt;50000,"High",IF(L45&gt;20000,"Medium","Low"))</f>
        <v>High</v>
      </c>
      <c r="O45">
        <f>Table1[[#This Row],[TotalSales]]/Table1[[#This Row],[Quantity]]</f>
        <v>47461.838181818181</v>
      </c>
    </row>
    <row r="46" spans="1:15" x14ac:dyDescent="0.35">
      <c r="A46" t="s">
        <v>102</v>
      </c>
      <c r="B46" s="1">
        <v>45564</v>
      </c>
      <c r="C46" t="s">
        <v>46</v>
      </c>
      <c r="D46" t="s">
        <v>79</v>
      </c>
      <c r="E46" t="s">
        <v>28</v>
      </c>
      <c r="F46" t="s">
        <v>76</v>
      </c>
      <c r="G46" t="s">
        <v>17</v>
      </c>
      <c r="H46">
        <v>7</v>
      </c>
      <c r="I46">
        <v>36451.370000000003</v>
      </c>
      <c r="J46" s="2">
        <v>0</v>
      </c>
      <c r="K46" t="s">
        <v>25</v>
      </c>
      <c r="L46">
        <v>255159.59</v>
      </c>
      <c r="M46" t="str">
        <f>TEXT(Table1[[#This Row],[OrderDate]], "mmm")</f>
        <v>Sep</v>
      </c>
      <c r="N46" t="str">
        <f>IF(Table1[[#This Row],[TotalSales]]&gt;50000,"High",IF(L46&gt;20000,"Medium","Low"))</f>
        <v>High</v>
      </c>
      <c r="O46">
        <f>Table1[[#This Row],[TotalSales]]/Table1[[#This Row],[Quantity]]</f>
        <v>36451.370000000003</v>
      </c>
    </row>
    <row r="47" spans="1:15" x14ac:dyDescent="0.35">
      <c r="A47" t="s">
        <v>103</v>
      </c>
      <c r="B47" s="1">
        <v>45382</v>
      </c>
      <c r="C47" t="s">
        <v>20</v>
      </c>
      <c r="D47" t="s">
        <v>97</v>
      </c>
      <c r="E47" t="s">
        <v>28</v>
      </c>
      <c r="F47" t="s">
        <v>104</v>
      </c>
      <c r="G47" t="s">
        <v>66</v>
      </c>
      <c r="H47">
        <v>12</v>
      </c>
      <c r="I47">
        <v>28791.72</v>
      </c>
      <c r="J47" s="2">
        <v>0.15</v>
      </c>
      <c r="K47" t="s">
        <v>44</v>
      </c>
      <c r="L47">
        <v>293675.53999999998</v>
      </c>
      <c r="M47" t="str">
        <f>TEXT(Table1[[#This Row],[OrderDate]], "mmm")</f>
        <v>Mar</v>
      </c>
      <c r="N47" t="str">
        <f>IF(Table1[[#This Row],[TotalSales]]&gt;50000,"High",IF(L47&gt;20000,"Medium","Low"))</f>
        <v>High</v>
      </c>
      <c r="O47">
        <f>Table1[[#This Row],[TotalSales]]/Table1[[#This Row],[Quantity]]</f>
        <v>24472.961666666666</v>
      </c>
    </row>
    <row r="48" spans="1:15" x14ac:dyDescent="0.35">
      <c r="A48" t="s">
        <v>105</v>
      </c>
      <c r="B48" s="1">
        <v>45522</v>
      </c>
      <c r="C48" t="s">
        <v>46</v>
      </c>
      <c r="D48" t="s">
        <v>79</v>
      </c>
      <c r="E48" t="s">
        <v>28</v>
      </c>
      <c r="F48" t="s">
        <v>125</v>
      </c>
      <c r="G48" t="s">
        <v>24</v>
      </c>
      <c r="H48">
        <v>4</v>
      </c>
      <c r="I48">
        <v>41326.1</v>
      </c>
      <c r="J48" s="2">
        <v>0.1</v>
      </c>
      <c r="K48" t="s">
        <v>25</v>
      </c>
      <c r="L48">
        <v>148773.96</v>
      </c>
      <c r="M48" t="str">
        <f>TEXT(Table1[[#This Row],[OrderDate]], "mmm")</f>
        <v>Aug</v>
      </c>
      <c r="N48" t="str">
        <f>IF(Table1[[#This Row],[TotalSales]]&gt;50000,"High",IF(L48&gt;20000,"Medium","Low"))</f>
        <v>High</v>
      </c>
      <c r="O48">
        <f>Table1[[#This Row],[TotalSales]]/Table1[[#This Row],[Quantity]]</f>
        <v>37193.49</v>
      </c>
    </row>
    <row r="49" spans="1:15" x14ac:dyDescent="0.35">
      <c r="A49" t="s">
        <v>106</v>
      </c>
      <c r="B49" s="1">
        <v>45435</v>
      </c>
      <c r="C49" t="s">
        <v>13</v>
      </c>
      <c r="D49" t="s">
        <v>37</v>
      </c>
      <c r="E49" t="s">
        <v>22</v>
      </c>
      <c r="F49" t="s">
        <v>52</v>
      </c>
      <c r="G49" t="s">
        <v>66</v>
      </c>
      <c r="H49">
        <v>15</v>
      </c>
      <c r="I49">
        <v>32869.29</v>
      </c>
      <c r="J49" s="2">
        <v>0</v>
      </c>
      <c r="K49" t="s">
        <v>25</v>
      </c>
      <c r="L49">
        <v>493039.35</v>
      </c>
      <c r="M49" t="str">
        <f>TEXT(Table1[[#This Row],[OrderDate]], "mmm")</f>
        <v>May</v>
      </c>
      <c r="N49" t="str">
        <f>IF(Table1[[#This Row],[TotalSales]]&gt;50000,"High",IF(L49&gt;20000,"Medium","Low"))</f>
        <v>High</v>
      </c>
      <c r="O49">
        <f>Table1[[#This Row],[TotalSales]]/Table1[[#This Row],[Quantity]]</f>
        <v>32869.29</v>
      </c>
    </row>
    <row r="50" spans="1:15" x14ac:dyDescent="0.35">
      <c r="A50" t="s">
        <v>107</v>
      </c>
      <c r="B50" s="1">
        <v>45300</v>
      </c>
      <c r="C50" t="s">
        <v>40</v>
      </c>
      <c r="D50" t="s">
        <v>41</v>
      </c>
      <c r="E50" t="s">
        <v>22</v>
      </c>
      <c r="F50" t="s">
        <v>82</v>
      </c>
      <c r="G50" t="s">
        <v>83</v>
      </c>
      <c r="H50">
        <v>2</v>
      </c>
      <c r="I50">
        <v>16324.11</v>
      </c>
      <c r="J50" s="2">
        <v>0.05</v>
      </c>
      <c r="K50" t="s">
        <v>25</v>
      </c>
      <c r="L50">
        <v>31015.81</v>
      </c>
      <c r="M50" t="str">
        <f>TEXT(Table1[[#This Row],[OrderDate]], "mmm")</f>
        <v>Jan</v>
      </c>
      <c r="N50" t="str">
        <f>IF(Table1[[#This Row],[TotalSales]]&gt;50000,"High",IF(L50&gt;20000,"Medium","Low"))</f>
        <v>Medium</v>
      </c>
      <c r="O50">
        <f>Table1[[#This Row],[TotalSales]]/Table1[[#This Row],[Quantity]]</f>
        <v>15507.905000000001</v>
      </c>
    </row>
    <row r="51" spans="1:15" x14ac:dyDescent="0.35">
      <c r="A51" t="s">
        <v>108</v>
      </c>
      <c r="B51" s="1">
        <v>45448</v>
      </c>
      <c r="C51" t="s">
        <v>40</v>
      </c>
      <c r="D51" t="s">
        <v>41</v>
      </c>
      <c r="E51" t="s">
        <v>28</v>
      </c>
      <c r="F51" t="s">
        <v>29</v>
      </c>
      <c r="G51" t="s">
        <v>24</v>
      </c>
      <c r="H51">
        <v>5</v>
      </c>
      <c r="I51">
        <v>12833.48</v>
      </c>
      <c r="J51" s="2">
        <v>0.15</v>
      </c>
      <c r="K51" t="s">
        <v>18</v>
      </c>
      <c r="L51">
        <v>54542.29</v>
      </c>
      <c r="M51" t="str">
        <f>TEXT(Table1[[#This Row],[OrderDate]], "mmm")</f>
        <v>Jun</v>
      </c>
      <c r="N51" t="str">
        <f>IF(Table1[[#This Row],[TotalSales]]&gt;50000,"High",IF(L51&gt;20000,"Medium","Low"))</f>
        <v>High</v>
      </c>
      <c r="O51">
        <f>Table1[[#This Row],[TotalSales]]/Table1[[#This Row],[Quantity]]</f>
        <v>10908.458000000001</v>
      </c>
    </row>
    <row r="52" spans="1:15" x14ac:dyDescent="0.35">
      <c r="A52" t="s">
        <v>109</v>
      </c>
      <c r="B52" s="1">
        <v>45593</v>
      </c>
      <c r="C52" t="s">
        <v>13</v>
      </c>
      <c r="D52" t="s">
        <v>33</v>
      </c>
      <c r="E52" t="s">
        <v>22</v>
      </c>
      <c r="F52" t="s">
        <v>82</v>
      </c>
      <c r="G52" t="s">
        <v>49</v>
      </c>
      <c r="H52">
        <v>13</v>
      </c>
      <c r="I52">
        <v>28950.1</v>
      </c>
      <c r="J52" s="2">
        <v>0</v>
      </c>
      <c r="K52" t="s">
        <v>31</v>
      </c>
      <c r="L52">
        <v>376351.3</v>
      </c>
      <c r="M52" t="str">
        <f>TEXT(Table1[[#This Row],[OrderDate]], "mmm")</f>
        <v>Oct</v>
      </c>
      <c r="N52" t="str">
        <f>IF(Table1[[#This Row],[TotalSales]]&gt;50000,"High",IF(L52&gt;20000,"Medium","Low"))</f>
        <v>High</v>
      </c>
      <c r="O52">
        <f>Table1[[#This Row],[TotalSales]]/Table1[[#This Row],[Quantity]]</f>
        <v>28950.1</v>
      </c>
    </row>
    <row r="53" spans="1:15" x14ac:dyDescent="0.35">
      <c r="A53" t="s">
        <v>110</v>
      </c>
      <c r="B53" s="1">
        <v>45575</v>
      </c>
      <c r="C53" t="s">
        <v>46</v>
      </c>
      <c r="D53" t="s">
        <v>47</v>
      </c>
      <c r="E53" t="s">
        <v>22</v>
      </c>
      <c r="F53" t="s">
        <v>52</v>
      </c>
      <c r="G53" t="s">
        <v>49</v>
      </c>
      <c r="H53">
        <v>5</v>
      </c>
      <c r="I53">
        <v>38418.47</v>
      </c>
      <c r="J53" s="2">
        <v>0</v>
      </c>
      <c r="K53" t="s">
        <v>25</v>
      </c>
      <c r="L53">
        <f>(Table1[[#This Row],[Quantity]]*Table1[[#This Row],[UnitPrice]])-(Table1[[#This Row],[Quantity]]*Table1[[#This Row],[UnitPrice]])*Table1[[#This Row],[Discount%]]</f>
        <v>192092.35</v>
      </c>
      <c r="M53" t="str">
        <f>TEXT(Table1[[#This Row],[OrderDate]], "mmm")</f>
        <v>Oct</v>
      </c>
      <c r="N53" t="str">
        <f>IF(Table1[[#This Row],[TotalSales]]&gt;50000,"High",IF(L53&gt;20000,"Medium","Low"))</f>
        <v>High</v>
      </c>
      <c r="O53">
        <f>Table1[[#This Row],[TotalSales]]/Table1[[#This Row],[Quantity]]</f>
        <v>38418.47</v>
      </c>
    </row>
    <row r="54" spans="1:15" x14ac:dyDescent="0.35">
      <c r="A54" t="s">
        <v>111</v>
      </c>
      <c r="B54" s="1">
        <v>45318</v>
      </c>
      <c r="C54" t="s">
        <v>13</v>
      </c>
      <c r="D54" t="s">
        <v>14</v>
      </c>
      <c r="E54" t="s">
        <v>34</v>
      </c>
      <c r="F54" t="s">
        <v>88</v>
      </c>
      <c r="G54" t="s">
        <v>43</v>
      </c>
      <c r="H54">
        <v>5</v>
      </c>
      <c r="I54">
        <v>51770.29</v>
      </c>
      <c r="J54" s="2">
        <v>0.05</v>
      </c>
      <c r="K54" t="s">
        <v>18</v>
      </c>
      <c r="L54">
        <v>245908.88</v>
      </c>
      <c r="M54" t="str">
        <f>TEXT(Table1[[#This Row],[OrderDate]], "mmm")</f>
        <v>Jan</v>
      </c>
      <c r="N54" t="str">
        <f>IF(Table1[[#This Row],[TotalSales]]&gt;50000,"High",IF(L54&gt;20000,"Medium","Low"))</f>
        <v>High</v>
      </c>
      <c r="O54">
        <f>Table1[[#This Row],[TotalSales]]/Table1[[#This Row],[Quantity]]</f>
        <v>49181.775999999998</v>
      </c>
    </row>
    <row r="55" spans="1:15" x14ac:dyDescent="0.35">
      <c r="A55" t="s">
        <v>112</v>
      </c>
      <c r="B55" s="1">
        <v>45352</v>
      </c>
      <c r="C55" t="s">
        <v>46</v>
      </c>
      <c r="D55" t="s">
        <v>47</v>
      </c>
      <c r="E55" t="s">
        <v>22</v>
      </c>
      <c r="F55" t="s">
        <v>52</v>
      </c>
      <c r="G55" t="s">
        <v>30</v>
      </c>
      <c r="H55">
        <v>9</v>
      </c>
      <c r="I55">
        <v>42091.5</v>
      </c>
      <c r="J55" s="2">
        <v>0.1</v>
      </c>
      <c r="K55" t="s">
        <v>44</v>
      </c>
      <c r="L55">
        <v>340941.15</v>
      </c>
      <c r="M55" t="str">
        <f>TEXT(Table1[[#This Row],[OrderDate]], "mmm")</f>
        <v>Mar</v>
      </c>
      <c r="N55" t="str">
        <f>IF(Table1[[#This Row],[TotalSales]]&gt;50000,"High",IF(L55&gt;20000,"Medium","Low"))</f>
        <v>High</v>
      </c>
      <c r="O55">
        <f>Table1[[#This Row],[TotalSales]]/Table1[[#This Row],[Quantity]]</f>
        <v>37882.350000000006</v>
      </c>
    </row>
    <row r="56" spans="1:15" x14ac:dyDescent="0.35">
      <c r="A56" t="s">
        <v>113</v>
      </c>
      <c r="B56" s="1">
        <v>45342</v>
      </c>
      <c r="C56" t="s">
        <v>46</v>
      </c>
      <c r="D56" t="s">
        <v>71</v>
      </c>
      <c r="E56" t="s">
        <v>34</v>
      </c>
      <c r="F56" t="s">
        <v>48</v>
      </c>
      <c r="G56" t="s">
        <v>24</v>
      </c>
      <c r="H56">
        <v>13</v>
      </c>
      <c r="I56">
        <v>11586.78</v>
      </c>
      <c r="J56" s="2">
        <v>0</v>
      </c>
      <c r="K56" t="s">
        <v>31</v>
      </c>
      <c r="L56">
        <v>150628.14000000001</v>
      </c>
      <c r="M56" t="str">
        <f>TEXT(Table1[[#This Row],[OrderDate]], "mmm")</f>
        <v>Feb</v>
      </c>
      <c r="N56" t="str">
        <f>IF(Table1[[#This Row],[TotalSales]]&gt;50000,"High",IF(L56&gt;20000,"Medium","Low"))</f>
        <v>High</v>
      </c>
      <c r="O56">
        <f>Table1[[#This Row],[TotalSales]]/Table1[[#This Row],[Quantity]]</f>
        <v>11586.78</v>
      </c>
    </row>
    <row r="57" spans="1:15" x14ac:dyDescent="0.35">
      <c r="A57" t="s">
        <v>114</v>
      </c>
      <c r="B57" s="1">
        <v>45308</v>
      </c>
      <c r="C57" t="s">
        <v>40</v>
      </c>
      <c r="D57" t="s">
        <v>41</v>
      </c>
      <c r="E57" t="s">
        <v>34</v>
      </c>
      <c r="F57" t="s">
        <v>88</v>
      </c>
      <c r="G57" t="s">
        <v>69</v>
      </c>
      <c r="H57">
        <v>4</v>
      </c>
      <c r="I57">
        <v>15988.15</v>
      </c>
      <c r="J57" s="2">
        <v>0</v>
      </c>
      <c r="K57" t="s">
        <v>25</v>
      </c>
      <c r="L57">
        <v>63952.6</v>
      </c>
      <c r="M57" t="str">
        <f>TEXT(Table1[[#This Row],[OrderDate]], "mmm")</f>
        <v>Jan</v>
      </c>
      <c r="N57" t="str">
        <f>IF(Table1[[#This Row],[TotalSales]]&gt;50000,"High",IF(L57&gt;20000,"Medium","Low"))</f>
        <v>High</v>
      </c>
      <c r="O57">
        <f>Table1[[#This Row],[TotalSales]]/Table1[[#This Row],[Quantity]]</f>
        <v>15988.15</v>
      </c>
    </row>
    <row r="58" spans="1:15" x14ac:dyDescent="0.35">
      <c r="A58" t="s">
        <v>115</v>
      </c>
      <c r="B58" s="1">
        <v>45364</v>
      </c>
      <c r="C58" t="s">
        <v>20</v>
      </c>
      <c r="D58" t="s">
        <v>97</v>
      </c>
      <c r="E58" t="s">
        <v>15</v>
      </c>
      <c r="F58" t="s">
        <v>59</v>
      </c>
      <c r="G58" t="s">
        <v>17</v>
      </c>
      <c r="H58">
        <v>2</v>
      </c>
      <c r="I58">
        <v>3468.16</v>
      </c>
      <c r="J58" s="2">
        <v>0.2</v>
      </c>
      <c r="K58" t="s">
        <v>25</v>
      </c>
      <c r="L58">
        <v>5549.06</v>
      </c>
      <c r="M58" t="str">
        <f>TEXT(Table1[[#This Row],[OrderDate]], "mmm")</f>
        <v>Mar</v>
      </c>
      <c r="N58" t="str">
        <f>IF(Table1[[#This Row],[TotalSales]]&gt;50000,"High",IF(L58&gt;20000,"Medium","Low"))</f>
        <v>Low</v>
      </c>
      <c r="O58">
        <f>Table1[[#This Row],[TotalSales]]/Table1[[#This Row],[Quantity]]</f>
        <v>2774.53</v>
      </c>
    </row>
    <row r="59" spans="1:15" x14ac:dyDescent="0.35">
      <c r="A59" t="s">
        <v>116</v>
      </c>
      <c r="B59" s="1">
        <v>45568</v>
      </c>
      <c r="C59" t="s">
        <v>13</v>
      </c>
      <c r="D59" t="s">
        <v>33</v>
      </c>
      <c r="E59" t="s">
        <v>28</v>
      </c>
      <c r="F59" t="s">
        <v>104</v>
      </c>
      <c r="G59" t="s">
        <v>17</v>
      </c>
      <c r="H59">
        <v>8</v>
      </c>
      <c r="I59">
        <v>24189.19</v>
      </c>
      <c r="J59" s="2">
        <v>0.1</v>
      </c>
      <c r="K59" t="s">
        <v>18</v>
      </c>
      <c r="L59">
        <v>174162.17</v>
      </c>
      <c r="M59" t="str">
        <f>TEXT(Table1[[#This Row],[OrderDate]], "mmm")</f>
        <v>Oct</v>
      </c>
      <c r="N59" t="str">
        <f>IF(Table1[[#This Row],[TotalSales]]&gt;50000,"High",IF(L59&gt;20000,"Medium","Low"))</f>
        <v>High</v>
      </c>
      <c r="O59">
        <f>Table1[[#This Row],[TotalSales]]/Table1[[#This Row],[Quantity]]</f>
        <v>21770.271250000002</v>
      </c>
    </row>
    <row r="60" spans="1:15" x14ac:dyDescent="0.35">
      <c r="A60" t="s">
        <v>117</v>
      </c>
      <c r="B60" s="1">
        <v>45532</v>
      </c>
      <c r="C60" t="s">
        <v>46</v>
      </c>
      <c r="D60" t="s">
        <v>47</v>
      </c>
      <c r="E60" t="s">
        <v>15</v>
      </c>
      <c r="F60" t="s">
        <v>56</v>
      </c>
      <c r="G60" t="s">
        <v>17</v>
      </c>
      <c r="H60">
        <v>9</v>
      </c>
      <c r="I60">
        <v>35902.720000000001</v>
      </c>
      <c r="J60" s="2">
        <v>0</v>
      </c>
      <c r="K60" t="s">
        <v>25</v>
      </c>
      <c r="L60">
        <v>323124.47999999998</v>
      </c>
      <c r="M60" t="str">
        <f>TEXT(Table1[[#This Row],[OrderDate]], "mmm")</f>
        <v>Aug</v>
      </c>
      <c r="N60" t="str">
        <f>IF(Table1[[#This Row],[TotalSales]]&gt;50000,"High",IF(L60&gt;20000,"Medium","Low"))</f>
        <v>High</v>
      </c>
      <c r="O60">
        <f>Table1[[#This Row],[TotalSales]]/Table1[[#This Row],[Quantity]]</f>
        <v>35902.720000000001</v>
      </c>
    </row>
    <row r="61" spans="1:15" x14ac:dyDescent="0.35">
      <c r="A61" t="s">
        <v>118</v>
      </c>
      <c r="B61" s="1">
        <v>45635</v>
      </c>
      <c r="C61" t="s">
        <v>13</v>
      </c>
      <c r="D61" t="s">
        <v>37</v>
      </c>
      <c r="E61" t="s">
        <v>28</v>
      </c>
      <c r="F61" t="s">
        <v>104</v>
      </c>
      <c r="G61" t="s">
        <v>43</v>
      </c>
      <c r="H61">
        <v>2</v>
      </c>
      <c r="I61">
        <v>47203.77</v>
      </c>
      <c r="J61" s="2">
        <v>0</v>
      </c>
      <c r="K61" t="s">
        <v>25</v>
      </c>
      <c r="L61">
        <v>94407.54</v>
      </c>
      <c r="M61" t="str">
        <f>TEXT(Table1[[#This Row],[OrderDate]], "mmm")</f>
        <v>Dec</v>
      </c>
      <c r="N61" t="str">
        <f>IF(Table1[[#This Row],[TotalSales]]&gt;50000,"High",IF(L61&gt;20000,"Medium","Low"))</f>
        <v>High</v>
      </c>
      <c r="O61">
        <f>Table1[[#This Row],[TotalSales]]/Table1[[#This Row],[Quantity]]</f>
        <v>47203.77</v>
      </c>
    </row>
    <row r="62" spans="1:15" x14ac:dyDescent="0.35">
      <c r="A62" t="s">
        <v>119</v>
      </c>
      <c r="B62" s="1">
        <v>45351</v>
      </c>
      <c r="C62" t="s">
        <v>13</v>
      </c>
      <c r="D62" t="s">
        <v>37</v>
      </c>
      <c r="E62" t="s">
        <v>15</v>
      </c>
      <c r="F62" t="s">
        <v>56</v>
      </c>
      <c r="G62" t="s">
        <v>43</v>
      </c>
      <c r="H62">
        <v>13</v>
      </c>
      <c r="I62">
        <v>22348.79</v>
      </c>
      <c r="J62" s="2">
        <v>0.1</v>
      </c>
      <c r="K62" t="s">
        <v>18</v>
      </c>
      <c r="L62">
        <v>261480.84</v>
      </c>
      <c r="M62" t="str">
        <f>TEXT(Table1[[#This Row],[OrderDate]], "mmm")</f>
        <v>Feb</v>
      </c>
      <c r="N62" t="str">
        <f>IF(Table1[[#This Row],[TotalSales]]&gt;50000,"High",IF(L62&gt;20000,"Medium","Low"))</f>
        <v>High</v>
      </c>
      <c r="O62">
        <f>Table1[[#This Row],[TotalSales]]/Table1[[#This Row],[Quantity]]</f>
        <v>20113.91076923077</v>
      </c>
    </row>
    <row r="63" spans="1:15" x14ac:dyDescent="0.35">
      <c r="A63" t="s">
        <v>120</v>
      </c>
      <c r="B63" s="1">
        <v>45396</v>
      </c>
      <c r="C63" t="s">
        <v>40</v>
      </c>
      <c r="D63" t="s">
        <v>55</v>
      </c>
      <c r="E63" t="s">
        <v>28</v>
      </c>
      <c r="F63" t="s">
        <v>104</v>
      </c>
      <c r="G63" t="s">
        <v>69</v>
      </c>
      <c r="H63">
        <v>5</v>
      </c>
      <c r="I63">
        <v>30297.24</v>
      </c>
      <c r="J63" s="2">
        <v>0</v>
      </c>
      <c r="K63" t="s">
        <v>18</v>
      </c>
      <c r="L63">
        <v>151486.20000000001</v>
      </c>
      <c r="M63" t="str">
        <f>TEXT(Table1[[#This Row],[OrderDate]], "mmm")</f>
        <v>Apr</v>
      </c>
      <c r="N63" t="str">
        <f>IF(Table1[[#This Row],[TotalSales]]&gt;50000,"High",IF(L63&gt;20000,"Medium","Low"))</f>
        <v>High</v>
      </c>
      <c r="O63">
        <f>Table1[[#This Row],[TotalSales]]/Table1[[#This Row],[Quantity]]</f>
        <v>30297.24</v>
      </c>
    </row>
    <row r="64" spans="1:15" x14ac:dyDescent="0.35">
      <c r="A64" t="s">
        <v>121</v>
      </c>
      <c r="B64" s="1">
        <v>45407</v>
      </c>
      <c r="C64" t="s">
        <v>40</v>
      </c>
      <c r="D64" t="s">
        <v>55</v>
      </c>
      <c r="E64" t="s">
        <v>28</v>
      </c>
      <c r="F64" t="s">
        <v>76</v>
      </c>
      <c r="G64" t="s">
        <v>49</v>
      </c>
      <c r="H64">
        <v>14</v>
      </c>
      <c r="I64">
        <v>50228.56</v>
      </c>
      <c r="J64" s="2">
        <v>0.05</v>
      </c>
      <c r="K64" t="s">
        <v>44</v>
      </c>
      <c r="L64">
        <v>668039.85</v>
      </c>
      <c r="M64" t="str">
        <f>TEXT(Table1[[#This Row],[OrderDate]], "mmm")</f>
        <v>Apr</v>
      </c>
      <c r="N64" t="str">
        <f>IF(Table1[[#This Row],[TotalSales]]&gt;50000,"High",IF(L64&gt;20000,"Medium","Low"))</f>
        <v>High</v>
      </c>
      <c r="O64">
        <f>Table1[[#This Row],[TotalSales]]/Table1[[#This Row],[Quantity]]</f>
        <v>47717.132142857139</v>
      </c>
    </row>
    <row r="65" spans="1:15" x14ac:dyDescent="0.35">
      <c r="A65" t="s">
        <v>122</v>
      </c>
      <c r="B65" s="1">
        <v>45525</v>
      </c>
      <c r="C65" t="s">
        <v>40</v>
      </c>
      <c r="D65" t="s">
        <v>55</v>
      </c>
      <c r="E65" t="s">
        <v>34</v>
      </c>
      <c r="F65" t="s">
        <v>88</v>
      </c>
      <c r="G65" t="s">
        <v>49</v>
      </c>
      <c r="H65">
        <v>9</v>
      </c>
      <c r="I65">
        <v>8126.38</v>
      </c>
      <c r="J65" s="2">
        <v>0</v>
      </c>
      <c r="K65" t="s">
        <v>25</v>
      </c>
      <c r="L65">
        <v>73137.42</v>
      </c>
      <c r="M65" t="str">
        <f>TEXT(Table1[[#This Row],[OrderDate]], "mmm")</f>
        <v>Aug</v>
      </c>
      <c r="N65" t="str">
        <f>IF(Table1[[#This Row],[TotalSales]]&gt;50000,"High",IF(L65&gt;20000,"Medium","Low"))</f>
        <v>High</v>
      </c>
      <c r="O65">
        <f>Table1[[#This Row],[TotalSales]]/Table1[[#This Row],[Quantity]]</f>
        <v>8126.38</v>
      </c>
    </row>
    <row r="66" spans="1:15" x14ac:dyDescent="0.35">
      <c r="A66" t="s">
        <v>123</v>
      </c>
      <c r="B66" s="1">
        <v>45444</v>
      </c>
      <c r="C66" t="s">
        <v>46</v>
      </c>
      <c r="D66" t="s">
        <v>79</v>
      </c>
      <c r="E66" t="s">
        <v>28</v>
      </c>
      <c r="F66" t="s">
        <v>29</v>
      </c>
      <c r="G66" t="s">
        <v>66</v>
      </c>
      <c r="H66">
        <v>14</v>
      </c>
      <c r="I66">
        <v>32364.19</v>
      </c>
      <c r="J66" s="2">
        <v>0.15</v>
      </c>
      <c r="K66" t="s">
        <v>25</v>
      </c>
      <c r="L66">
        <v>385133.86</v>
      </c>
      <c r="M66" t="str">
        <f>TEXT(Table1[[#This Row],[OrderDate]], "mmm")</f>
        <v>Jun</v>
      </c>
      <c r="N66" t="str">
        <f>IF(Table1[[#This Row],[TotalSales]]&gt;50000,"High",IF(L66&gt;20000,"Medium","Low"))</f>
        <v>High</v>
      </c>
      <c r="O66">
        <f>Table1[[#This Row],[TotalSales]]/Table1[[#This Row],[Quantity]]</f>
        <v>27509.561428571429</v>
      </c>
    </row>
    <row r="67" spans="1:15" x14ac:dyDescent="0.35">
      <c r="A67" t="s">
        <v>124</v>
      </c>
      <c r="B67" s="1">
        <v>45488</v>
      </c>
      <c r="C67" t="s">
        <v>20</v>
      </c>
      <c r="D67" t="s">
        <v>21</v>
      </c>
      <c r="E67" t="s">
        <v>28</v>
      </c>
      <c r="F67" t="s">
        <v>125</v>
      </c>
      <c r="G67" t="s">
        <v>66</v>
      </c>
      <c r="H67">
        <v>4</v>
      </c>
      <c r="I67">
        <v>47109.51</v>
      </c>
      <c r="J67" s="2">
        <v>0.05</v>
      </c>
      <c r="K67" t="s">
        <v>18</v>
      </c>
      <c r="L67">
        <v>179016.14</v>
      </c>
      <c r="M67" t="str">
        <f>TEXT(Table1[[#This Row],[OrderDate]], "mmm")</f>
        <v>Jul</v>
      </c>
      <c r="N67" t="str">
        <f>IF(Table1[[#This Row],[TotalSales]]&gt;50000,"High",IF(L67&gt;20000,"Medium","Low"))</f>
        <v>High</v>
      </c>
      <c r="O67">
        <f>Table1[[#This Row],[TotalSales]]/Table1[[#This Row],[Quantity]]</f>
        <v>44754.035000000003</v>
      </c>
    </row>
    <row r="68" spans="1:15" x14ac:dyDescent="0.35">
      <c r="A68" t="s">
        <v>126</v>
      </c>
      <c r="B68" s="1">
        <v>45594</v>
      </c>
      <c r="C68" t="s">
        <v>20</v>
      </c>
      <c r="D68" t="s">
        <v>21</v>
      </c>
      <c r="E68" t="s">
        <v>34</v>
      </c>
      <c r="F68" t="s">
        <v>35</v>
      </c>
      <c r="G68" t="s">
        <v>24</v>
      </c>
      <c r="H68">
        <v>6</v>
      </c>
      <c r="I68">
        <v>47859.58</v>
      </c>
      <c r="J68" s="2">
        <v>0.2</v>
      </c>
      <c r="K68" t="s">
        <v>25</v>
      </c>
      <c r="L68">
        <f>(Table1[[#This Row],[Quantity]]*Table1[[#This Row],[UnitPrice]])-(Table1[[#This Row],[Quantity]]*Table1[[#This Row],[UnitPrice]])*Table1[[#This Row],[Discount%]]</f>
        <v>229725.984</v>
      </c>
      <c r="M68" t="str">
        <f>TEXT(Table1[[#This Row],[OrderDate]], "mmm")</f>
        <v>Oct</v>
      </c>
      <c r="N68" t="str">
        <f>IF(Table1[[#This Row],[TotalSales]]&gt;50000,"High",IF(L68&gt;20000,"Medium","Low"))</f>
        <v>High</v>
      </c>
      <c r="O68">
        <f>Table1[[#This Row],[TotalSales]]/Table1[[#This Row],[Quantity]]</f>
        <v>38287.663999999997</v>
      </c>
    </row>
    <row r="69" spans="1:15" x14ac:dyDescent="0.35">
      <c r="A69" t="s">
        <v>127</v>
      </c>
      <c r="B69" s="1">
        <v>45465</v>
      </c>
      <c r="C69" t="s">
        <v>40</v>
      </c>
      <c r="D69" t="s">
        <v>41</v>
      </c>
      <c r="E69" t="s">
        <v>22</v>
      </c>
      <c r="F69" t="s">
        <v>23</v>
      </c>
      <c r="G69" t="s">
        <v>83</v>
      </c>
      <c r="H69">
        <v>10</v>
      </c>
      <c r="I69">
        <v>38160.21</v>
      </c>
      <c r="J69" s="2">
        <v>0.15</v>
      </c>
      <c r="K69" t="s">
        <v>25</v>
      </c>
      <c r="L69">
        <v>324361.78000000003</v>
      </c>
      <c r="M69" t="str">
        <f>TEXT(Table1[[#This Row],[OrderDate]], "mmm")</f>
        <v>Jun</v>
      </c>
      <c r="N69" t="str">
        <f>IF(Table1[[#This Row],[TotalSales]]&gt;50000,"High",IF(L69&gt;20000,"Medium","Low"))</f>
        <v>High</v>
      </c>
      <c r="O69">
        <f>Table1[[#This Row],[TotalSales]]/Table1[[#This Row],[Quantity]]</f>
        <v>32436.178000000004</v>
      </c>
    </row>
    <row r="70" spans="1:15" x14ac:dyDescent="0.35">
      <c r="A70" t="s">
        <v>128</v>
      </c>
      <c r="B70" s="1">
        <v>45642</v>
      </c>
      <c r="C70" t="s">
        <v>20</v>
      </c>
      <c r="D70" t="s">
        <v>21</v>
      </c>
      <c r="E70" t="s">
        <v>15</v>
      </c>
      <c r="F70" t="s">
        <v>16</v>
      </c>
      <c r="G70" t="s">
        <v>17</v>
      </c>
      <c r="H70">
        <v>15</v>
      </c>
      <c r="I70">
        <v>15948.37</v>
      </c>
      <c r="J70" s="2">
        <v>0</v>
      </c>
      <c r="K70" t="s">
        <v>25</v>
      </c>
      <c r="L70">
        <v>239225.55</v>
      </c>
      <c r="M70" t="str">
        <f>TEXT(Table1[[#This Row],[OrderDate]], "mmm")</f>
        <v>Dec</v>
      </c>
      <c r="N70" t="str">
        <f>IF(Table1[[#This Row],[TotalSales]]&gt;50000,"High",IF(L70&gt;20000,"Medium","Low"))</f>
        <v>High</v>
      </c>
      <c r="O70">
        <f>Table1[[#This Row],[TotalSales]]/Table1[[#This Row],[Quantity]]</f>
        <v>15948.369999999999</v>
      </c>
    </row>
    <row r="71" spans="1:15" x14ac:dyDescent="0.35">
      <c r="A71" t="s">
        <v>129</v>
      </c>
      <c r="B71" s="1">
        <v>45458</v>
      </c>
      <c r="C71" t="s">
        <v>46</v>
      </c>
      <c r="D71" t="s">
        <v>47</v>
      </c>
      <c r="E71" t="s">
        <v>22</v>
      </c>
      <c r="F71" t="s">
        <v>52</v>
      </c>
      <c r="G71" t="s">
        <v>24</v>
      </c>
      <c r="H71">
        <v>13</v>
      </c>
      <c r="I71">
        <v>3275.33</v>
      </c>
      <c r="J71" s="2">
        <v>0</v>
      </c>
      <c r="K71" t="s">
        <v>18</v>
      </c>
      <c r="L71">
        <v>42579.29</v>
      </c>
      <c r="M71" t="str">
        <f>TEXT(Table1[[#This Row],[OrderDate]], "mmm")</f>
        <v>Jun</v>
      </c>
      <c r="N71" t="str">
        <f>IF(Table1[[#This Row],[TotalSales]]&gt;50000,"High",IF(L71&gt;20000,"Medium","Low"))</f>
        <v>Medium</v>
      </c>
      <c r="O71">
        <f>Table1[[#This Row],[TotalSales]]/Table1[[#This Row],[Quantity]]</f>
        <v>3275.33</v>
      </c>
    </row>
    <row r="72" spans="1:15" x14ac:dyDescent="0.35">
      <c r="A72" t="s">
        <v>130</v>
      </c>
      <c r="B72" s="1">
        <v>45641</v>
      </c>
      <c r="C72" t="s">
        <v>40</v>
      </c>
      <c r="D72" t="s">
        <v>51</v>
      </c>
      <c r="E72" t="s">
        <v>22</v>
      </c>
      <c r="F72" t="s">
        <v>23</v>
      </c>
      <c r="G72" t="s">
        <v>43</v>
      </c>
      <c r="H72">
        <v>4</v>
      </c>
      <c r="I72">
        <v>27472.17</v>
      </c>
      <c r="J72" s="2">
        <v>0.1</v>
      </c>
      <c r="K72" t="s">
        <v>25</v>
      </c>
      <c r="L72">
        <v>98899.81</v>
      </c>
      <c r="M72" t="str">
        <f>TEXT(Table1[[#This Row],[OrderDate]], "mmm")</f>
        <v>Dec</v>
      </c>
      <c r="N72" t="str">
        <f>IF(Table1[[#This Row],[TotalSales]]&gt;50000,"High",IF(L72&gt;20000,"Medium","Low"))</f>
        <v>High</v>
      </c>
      <c r="O72">
        <f>Table1[[#This Row],[TotalSales]]/Table1[[#This Row],[Quantity]]</f>
        <v>24724.952499999999</v>
      </c>
    </row>
    <row r="73" spans="1:15" x14ac:dyDescent="0.35">
      <c r="A73" t="s">
        <v>131</v>
      </c>
      <c r="B73" s="1">
        <v>45468</v>
      </c>
      <c r="C73" t="s">
        <v>46</v>
      </c>
      <c r="D73" t="s">
        <v>79</v>
      </c>
      <c r="E73" t="s">
        <v>28</v>
      </c>
      <c r="F73" t="s">
        <v>125</v>
      </c>
      <c r="G73" t="s">
        <v>30</v>
      </c>
      <c r="H73">
        <v>10</v>
      </c>
      <c r="I73">
        <v>16593.650000000001</v>
      </c>
      <c r="J73" s="2">
        <v>0.05</v>
      </c>
      <c r="K73" t="s">
        <v>31</v>
      </c>
      <c r="L73">
        <v>157639.67000000001</v>
      </c>
      <c r="M73" t="str">
        <f>TEXT(Table1[[#This Row],[OrderDate]], "mmm")</f>
        <v>Jun</v>
      </c>
      <c r="N73" t="str">
        <f>IF(Table1[[#This Row],[TotalSales]]&gt;50000,"High",IF(L73&gt;20000,"Medium","Low"))</f>
        <v>High</v>
      </c>
      <c r="O73">
        <f>Table1[[#This Row],[TotalSales]]/Table1[[#This Row],[Quantity]]</f>
        <v>15763.967000000001</v>
      </c>
    </row>
    <row r="74" spans="1:15" x14ac:dyDescent="0.35">
      <c r="A74" t="s">
        <v>132</v>
      </c>
      <c r="B74" s="1">
        <v>45443</v>
      </c>
      <c r="C74" t="s">
        <v>13</v>
      </c>
      <c r="D74" t="s">
        <v>33</v>
      </c>
      <c r="E74" t="s">
        <v>22</v>
      </c>
      <c r="F74" t="s">
        <v>82</v>
      </c>
      <c r="G74" t="s">
        <v>43</v>
      </c>
      <c r="H74">
        <v>12</v>
      </c>
      <c r="I74">
        <v>16378.65</v>
      </c>
      <c r="J74" s="2">
        <v>0.2</v>
      </c>
      <c r="K74" t="s">
        <v>25</v>
      </c>
      <c r="L74">
        <v>157235.04</v>
      </c>
      <c r="M74" t="str">
        <f>TEXT(Table1[[#This Row],[OrderDate]], "mmm")</f>
        <v>May</v>
      </c>
      <c r="N74" t="str">
        <f>IF(Table1[[#This Row],[TotalSales]]&gt;50000,"High",IF(L74&gt;20000,"Medium","Low"))</f>
        <v>High</v>
      </c>
      <c r="O74">
        <f>Table1[[#This Row],[TotalSales]]/Table1[[#This Row],[Quantity]]</f>
        <v>13102.92</v>
      </c>
    </row>
    <row r="75" spans="1:15" x14ac:dyDescent="0.35">
      <c r="A75" t="s">
        <v>133</v>
      </c>
      <c r="B75" s="1">
        <v>45617</v>
      </c>
      <c r="C75" t="s">
        <v>13</v>
      </c>
      <c r="D75" t="s">
        <v>14</v>
      </c>
      <c r="E75" t="s">
        <v>28</v>
      </c>
      <c r="F75" t="s">
        <v>125</v>
      </c>
      <c r="G75" t="s">
        <v>17</v>
      </c>
      <c r="H75">
        <v>4</v>
      </c>
      <c r="I75">
        <v>34224.839999999997</v>
      </c>
      <c r="J75" s="2">
        <v>0.15</v>
      </c>
      <c r="K75" t="s">
        <v>31</v>
      </c>
      <c r="L75">
        <v>116364.46</v>
      </c>
      <c r="M75" t="str">
        <f>TEXT(Table1[[#This Row],[OrderDate]], "mmm")</f>
        <v>Nov</v>
      </c>
      <c r="N75" t="str">
        <f>IF(Table1[[#This Row],[TotalSales]]&gt;50000,"High",IF(L75&gt;20000,"Medium","Low"))</f>
        <v>High</v>
      </c>
      <c r="O75">
        <f>Table1[[#This Row],[TotalSales]]/Table1[[#This Row],[Quantity]]</f>
        <v>29091.115000000002</v>
      </c>
    </row>
    <row r="76" spans="1:15" x14ac:dyDescent="0.35">
      <c r="A76" t="s">
        <v>134</v>
      </c>
      <c r="B76" s="1">
        <v>45478</v>
      </c>
      <c r="C76" t="s">
        <v>46</v>
      </c>
      <c r="D76" t="s">
        <v>71</v>
      </c>
      <c r="E76" t="s">
        <v>28</v>
      </c>
      <c r="F76" t="s">
        <v>104</v>
      </c>
      <c r="G76" t="s">
        <v>83</v>
      </c>
      <c r="H76">
        <v>12</v>
      </c>
      <c r="I76">
        <v>7401.37</v>
      </c>
      <c r="J76" s="2">
        <v>0</v>
      </c>
      <c r="K76" t="s">
        <v>44</v>
      </c>
      <c r="L76">
        <v>88816.44</v>
      </c>
      <c r="M76" t="str">
        <f>TEXT(Table1[[#This Row],[OrderDate]], "mmm")</f>
        <v>Jul</v>
      </c>
      <c r="N76" t="str">
        <f>IF(Table1[[#This Row],[TotalSales]]&gt;50000,"High",IF(L76&gt;20000,"Medium","Low"))</f>
        <v>High</v>
      </c>
      <c r="O76">
        <f>Table1[[#This Row],[TotalSales]]/Table1[[#This Row],[Quantity]]</f>
        <v>7401.37</v>
      </c>
    </row>
    <row r="77" spans="1:15" x14ac:dyDescent="0.35">
      <c r="A77" t="s">
        <v>135</v>
      </c>
      <c r="B77" s="1">
        <v>45465</v>
      </c>
      <c r="C77" t="s">
        <v>40</v>
      </c>
      <c r="D77" t="s">
        <v>41</v>
      </c>
      <c r="E77" t="s">
        <v>22</v>
      </c>
      <c r="F77" t="s">
        <v>52</v>
      </c>
      <c r="G77" t="s">
        <v>66</v>
      </c>
      <c r="H77">
        <v>13</v>
      </c>
      <c r="I77">
        <v>6511.3</v>
      </c>
      <c r="J77" s="2">
        <v>0</v>
      </c>
      <c r="K77" t="s">
        <v>44</v>
      </c>
      <c r="L77">
        <v>84646.9</v>
      </c>
      <c r="M77" t="str">
        <f>TEXT(Table1[[#This Row],[OrderDate]], "mmm")</f>
        <v>Jun</v>
      </c>
      <c r="N77" t="str">
        <f>IF(Table1[[#This Row],[TotalSales]]&gt;50000,"High",IF(L77&gt;20000,"Medium","Low"))</f>
        <v>High</v>
      </c>
      <c r="O77">
        <f>Table1[[#This Row],[TotalSales]]/Table1[[#This Row],[Quantity]]</f>
        <v>6511.2999999999993</v>
      </c>
    </row>
    <row r="78" spans="1:15" x14ac:dyDescent="0.35">
      <c r="A78" t="s">
        <v>136</v>
      </c>
      <c r="B78" s="1">
        <v>45566</v>
      </c>
      <c r="C78" t="s">
        <v>46</v>
      </c>
      <c r="D78" t="s">
        <v>79</v>
      </c>
      <c r="E78" t="s">
        <v>15</v>
      </c>
      <c r="F78" t="s">
        <v>38</v>
      </c>
      <c r="G78" t="s">
        <v>83</v>
      </c>
      <c r="H78">
        <v>2</v>
      </c>
      <c r="I78">
        <v>25122.27</v>
      </c>
      <c r="J78" s="2">
        <v>0.15</v>
      </c>
      <c r="K78" t="s">
        <v>31</v>
      </c>
      <c r="L78">
        <v>42707.86</v>
      </c>
      <c r="M78" t="str">
        <f>TEXT(Table1[[#This Row],[OrderDate]], "mmm")</f>
        <v>Oct</v>
      </c>
      <c r="N78" t="str">
        <f>IF(Table1[[#This Row],[TotalSales]]&gt;50000,"High",IF(L78&gt;20000,"Medium","Low"))</f>
        <v>Medium</v>
      </c>
      <c r="O78">
        <f>Table1[[#This Row],[TotalSales]]/Table1[[#This Row],[Quantity]]</f>
        <v>21353.93</v>
      </c>
    </row>
    <row r="79" spans="1:15" x14ac:dyDescent="0.35">
      <c r="A79" t="s">
        <v>137</v>
      </c>
      <c r="B79" s="1">
        <v>45579</v>
      </c>
      <c r="C79" t="s">
        <v>46</v>
      </c>
      <c r="D79" t="s">
        <v>71</v>
      </c>
      <c r="E79" t="s">
        <v>22</v>
      </c>
      <c r="F79" t="s">
        <v>82</v>
      </c>
      <c r="G79" t="s">
        <v>66</v>
      </c>
      <c r="H79">
        <v>6</v>
      </c>
      <c r="I79">
        <v>50356.02</v>
      </c>
      <c r="J79" s="2">
        <v>0</v>
      </c>
      <c r="K79" t="s">
        <v>31</v>
      </c>
      <c r="L79">
        <v>302136.12</v>
      </c>
      <c r="M79" t="str">
        <f>TEXT(Table1[[#This Row],[OrderDate]], "mmm")</f>
        <v>Oct</v>
      </c>
      <c r="N79" t="str">
        <f>IF(Table1[[#This Row],[TotalSales]]&gt;50000,"High",IF(L79&gt;20000,"Medium","Low"))</f>
        <v>High</v>
      </c>
      <c r="O79">
        <f>Table1[[#This Row],[TotalSales]]/Table1[[#This Row],[Quantity]]</f>
        <v>50356.02</v>
      </c>
    </row>
    <row r="80" spans="1:15" x14ac:dyDescent="0.35">
      <c r="A80" t="s">
        <v>138</v>
      </c>
      <c r="B80" s="1">
        <v>45544</v>
      </c>
      <c r="C80" t="s">
        <v>46</v>
      </c>
      <c r="D80" t="s">
        <v>79</v>
      </c>
      <c r="E80" t="s">
        <v>22</v>
      </c>
      <c r="F80" t="s">
        <v>23</v>
      </c>
      <c r="G80" t="s">
        <v>66</v>
      </c>
      <c r="H80">
        <v>2</v>
      </c>
      <c r="I80">
        <v>5526.12</v>
      </c>
      <c r="J80" s="2">
        <v>0.1</v>
      </c>
      <c r="K80" t="s">
        <v>18</v>
      </c>
      <c r="L80">
        <v>9947.02</v>
      </c>
      <c r="M80" t="str">
        <f>TEXT(Table1[[#This Row],[OrderDate]], "mmm")</f>
        <v>Sep</v>
      </c>
      <c r="N80" t="str">
        <f>IF(Table1[[#This Row],[TotalSales]]&gt;50000,"High",IF(L80&gt;20000,"Medium","Low"))</f>
        <v>Low</v>
      </c>
      <c r="O80">
        <f>Table1[[#This Row],[TotalSales]]/Table1[[#This Row],[Quantity]]</f>
        <v>4973.51</v>
      </c>
    </row>
    <row r="81" spans="1:15" x14ac:dyDescent="0.35">
      <c r="A81" t="s">
        <v>139</v>
      </c>
      <c r="B81" s="1">
        <v>45500</v>
      </c>
      <c r="C81" t="s">
        <v>40</v>
      </c>
      <c r="D81" t="s">
        <v>51</v>
      </c>
      <c r="E81" t="s">
        <v>34</v>
      </c>
      <c r="F81" t="s">
        <v>35</v>
      </c>
      <c r="G81" t="s">
        <v>83</v>
      </c>
      <c r="H81">
        <v>5</v>
      </c>
      <c r="I81">
        <v>1992.85</v>
      </c>
      <c r="J81" s="2">
        <v>0</v>
      </c>
      <c r="K81" t="s">
        <v>44</v>
      </c>
      <c r="L81">
        <v>9964.25</v>
      </c>
      <c r="M81" t="str">
        <f>TEXT(Table1[[#This Row],[OrderDate]], "mmm")</f>
        <v>Jul</v>
      </c>
      <c r="N81" t="str">
        <f>IF(Table1[[#This Row],[TotalSales]]&gt;50000,"High",IF(L81&gt;20000,"Medium","Low"))</f>
        <v>Low</v>
      </c>
      <c r="O81">
        <f>Table1[[#This Row],[TotalSales]]/Table1[[#This Row],[Quantity]]</f>
        <v>1992.85</v>
      </c>
    </row>
    <row r="82" spans="1:15" x14ac:dyDescent="0.35">
      <c r="A82" t="s">
        <v>140</v>
      </c>
      <c r="B82" s="1">
        <v>45354</v>
      </c>
      <c r="C82" t="s">
        <v>13</v>
      </c>
      <c r="D82" t="s">
        <v>14</v>
      </c>
      <c r="E82" t="s">
        <v>15</v>
      </c>
      <c r="F82" t="s">
        <v>38</v>
      </c>
      <c r="G82" t="s">
        <v>83</v>
      </c>
      <c r="H82">
        <v>14</v>
      </c>
      <c r="I82">
        <v>45365.67</v>
      </c>
      <c r="J82" s="2">
        <v>0</v>
      </c>
      <c r="K82" t="s">
        <v>18</v>
      </c>
      <c r="L82">
        <f>(Table1[[#This Row],[Quantity]]*Table1[[#This Row],[UnitPrice]])-(Table1[[#This Row],[Quantity]]*Table1[[#This Row],[UnitPrice]])*Table1[[#This Row],[Discount%]]</f>
        <v>635119.38</v>
      </c>
      <c r="M82" t="str">
        <f>TEXT(Table1[[#This Row],[OrderDate]], "mmm")</f>
        <v>Mar</v>
      </c>
      <c r="N82" t="str">
        <f>IF(Table1[[#This Row],[TotalSales]]&gt;50000,"High",IF(L82&gt;20000,"Medium","Low"))</f>
        <v>High</v>
      </c>
      <c r="O82">
        <f>Table1[[#This Row],[TotalSales]]/Table1[[#This Row],[Quantity]]</f>
        <v>45365.67</v>
      </c>
    </row>
    <row r="83" spans="1:15" x14ac:dyDescent="0.35">
      <c r="A83" t="s">
        <v>141</v>
      </c>
      <c r="B83" s="1">
        <v>45398</v>
      </c>
      <c r="C83" t="s">
        <v>46</v>
      </c>
      <c r="D83" t="s">
        <v>71</v>
      </c>
      <c r="E83" t="s">
        <v>22</v>
      </c>
      <c r="F83" t="s">
        <v>42</v>
      </c>
      <c r="G83" t="s">
        <v>49</v>
      </c>
      <c r="H83">
        <v>10</v>
      </c>
      <c r="I83">
        <v>12034.13</v>
      </c>
      <c r="J83" s="2">
        <v>0.2</v>
      </c>
      <c r="K83" t="s">
        <v>18</v>
      </c>
      <c r="L83">
        <v>96273.04</v>
      </c>
      <c r="M83" t="str">
        <f>TEXT(Table1[[#This Row],[OrderDate]], "mmm")</f>
        <v>Apr</v>
      </c>
      <c r="N83" t="str">
        <f>IF(Table1[[#This Row],[TotalSales]]&gt;50000,"High",IF(L83&gt;20000,"Medium","Low"))</f>
        <v>High</v>
      </c>
      <c r="O83">
        <f>Table1[[#This Row],[TotalSales]]/Table1[[#This Row],[Quantity]]</f>
        <v>9627.3040000000001</v>
      </c>
    </row>
    <row r="84" spans="1:15" x14ac:dyDescent="0.35">
      <c r="A84" t="s">
        <v>142</v>
      </c>
      <c r="B84" s="1">
        <v>45630</v>
      </c>
      <c r="C84" t="s">
        <v>20</v>
      </c>
      <c r="D84" t="s">
        <v>27</v>
      </c>
      <c r="E84" t="s">
        <v>22</v>
      </c>
      <c r="F84" t="s">
        <v>52</v>
      </c>
      <c r="G84" t="s">
        <v>49</v>
      </c>
      <c r="H84">
        <v>14</v>
      </c>
      <c r="I84">
        <v>1612.75</v>
      </c>
      <c r="J84" s="2">
        <v>0</v>
      </c>
      <c r="K84" t="s">
        <v>31</v>
      </c>
      <c r="L84">
        <f>(Table1[[#This Row],[Quantity]]*Table1[[#This Row],[UnitPrice]])-(Table1[[#This Row],[Quantity]]*Table1[[#This Row],[UnitPrice]])*Table1[[#This Row],[Discount%]]</f>
        <v>22578.5</v>
      </c>
      <c r="M84" t="str">
        <f>TEXT(Table1[[#This Row],[OrderDate]], "mmm")</f>
        <v>Dec</v>
      </c>
      <c r="N84" t="str">
        <f>IF(Table1[[#This Row],[TotalSales]]&gt;50000,"High",IF(L84&gt;20000,"Medium","Low"))</f>
        <v>Medium</v>
      </c>
      <c r="O84">
        <f>Table1[[#This Row],[TotalSales]]/Table1[[#This Row],[Quantity]]</f>
        <v>1612.75</v>
      </c>
    </row>
    <row r="85" spans="1:15" x14ac:dyDescent="0.35">
      <c r="A85" t="s">
        <v>143</v>
      </c>
      <c r="B85" s="1">
        <v>45324</v>
      </c>
      <c r="C85" t="s">
        <v>46</v>
      </c>
      <c r="D85" t="s">
        <v>71</v>
      </c>
      <c r="E85" t="s">
        <v>22</v>
      </c>
      <c r="F85" t="s">
        <v>82</v>
      </c>
      <c r="G85" t="s">
        <v>43</v>
      </c>
      <c r="H85">
        <v>8</v>
      </c>
      <c r="I85">
        <v>24765.48</v>
      </c>
      <c r="J85" s="2">
        <v>0</v>
      </c>
      <c r="K85" t="s">
        <v>44</v>
      </c>
      <c r="L85">
        <v>198123.84</v>
      </c>
      <c r="M85" t="str">
        <f>TEXT(Table1[[#This Row],[OrderDate]], "mmm")</f>
        <v>Feb</v>
      </c>
      <c r="N85" t="str">
        <f>IF(Table1[[#This Row],[TotalSales]]&gt;50000,"High",IF(L85&gt;20000,"Medium","Low"))</f>
        <v>High</v>
      </c>
      <c r="O85">
        <f>Table1[[#This Row],[TotalSales]]/Table1[[#This Row],[Quantity]]</f>
        <v>24765.48</v>
      </c>
    </row>
    <row r="86" spans="1:15" x14ac:dyDescent="0.35">
      <c r="A86" t="s">
        <v>144</v>
      </c>
      <c r="B86" s="1">
        <v>45497</v>
      </c>
      <c r="C86" t="s">
        <v>46</v>
      </c>
      <c r="D86" t="s">
        <v>79</v>
      </c>
      <c r="E86" t="s">
        <v>34</v>
      </c>
      <c r="F86" t="s">
        <v>35</v>
      </c>
      <c r="G86" t="s">
        <v>24</v>
      </c>
      <c r="H86">
        <v>7</v>
      </c>
      <c r="I86">
        <v>37798.14</v>
      </c>
      <c r="J86" s="2">
        <v>0.05</v>
      </c>
      <c r="K86" t="s">
        <v>31</v>
      </c>
      <c r="L86">
        <v>251357.63</v>
      </c>
      <c r="M86" t="str">
        <f>TEXT(Table1[[#This Row],[OrderDate]], "mmm")</f>
        <v>Jul</v>
      </c>
      <c r="N86" t="str">
        <f>IF(Table1[[#This Row],[TotalSales]]&gt;50000,"High",IF(L86&gt;20000,"Medium","Low"))</f>
        <v>High</v>
      </c>
      <c r="O86">
        <f>Table1[[#This Row],[TotalSales]]/Table1[[#This Row],[Quantity]]</f>
        <v>35908.232857142859</v>
      </c>
    </row>
    <row r="87" spans="1:15" x14ac:dyDescent="0.35">
      <c r="A87" t="s">
        <v>145</v>
      </c>
      <c r="B87" s="1">
        <v>45597</v>
      </c>
      <c r="C87" t="s">
        <v>13</v>
      </c>
      <c r="D87" t="s">
        <v>37</v>
      </c>
      <c r="E87" t="s">
        <v>22</v>
      </c>
      <c r="F87" t="s">
        <v>52</v>
      </c>
      <c r="G87" t="s">
        <v>69</v>
      </c>
      <c r="H87">
        <v>9</v>
      </c>
      <c r="I87">
        <v>16360.4</v>
      </c>
      <c r="J87" s="2">
        <v>0.1</v>
      </c>
      <c r="K87" t="s">
        <v>25</v>
      </c>
      <c r="L87">
        <v>132519.24</v>
      </c>
      <c r="M87" t="str">
        <f>TEXT(Table1[[#This Row],[OrderDate]], "mmm")</f>
        <v>Nov</v>
      </c>
      <c r="N87" t="str">
        <f>IF(Table1[[#This Row],[TotalSales]]&gt;50000,"High",IF(L87&gt;20000,"Medium","Low"))</f>
        <v>High</v>
      </c>
      <c r="O87">
        <f>Table1[[#This Row],[TotalSales]]/Table1[[#This Row],[Quantity]]</f>
        <v>14724.359999999999</v>
      </c>
    </row>
    <row r="88" spans="1:15" x14ac:dyDescent="0.35">
      <c r="A88" t="s">
        <v>146</v>
      </c>
      <c r="B88" s="1">
        <v>45524</v>
      </c>
      <c r="C88" t="s">
        <v>40</v>
      </c>
      <c r="D88" t="s">
        <v>41</v>
      </c>
      <c r="E88" t="s">
        <v>34</v>
      </c>
      <c r="F88" t="s">
        <v>61</v>
      </c>
      <c r="G88" t="s">
        <v>30</v>
      </c>
      <c r="H88">
        <v>7</v>
      </c>
      <c r="I88">
        <v>22996.23</v>
      </c>
      <c r="J88" s="2">
        <v>0</v>
      </c>
      <c r="K88" t="s">
        <v>31</v>
      </c>
      <c r="L88">
        <v>160973.60999999999</v>
      </c>
      <c r="M88" t="str">
        <f>TEXT(Table1[[#This Row],[OrderDate]], "mmm")</f>
        <v>Aug</v>
      </c>
      <c r="N88" t="str">
        <f>IF(Table1[[#This Row],[TotalSales]]&gt;50000,"High",IF(L88&gt;20000,"Medium","Low"))</f>
        <v>High</v>
      </c>
      <c r="O88">
        <f>Table1[[#This Row],[TotalSales]]/Table1[[#This Row],[Quantity]]</f>
        <v>22996.23</v>
      </c>
    </row>
    <row r="89" spans="1:15" x14ac:dyDescent="0.35">
      <c r="A89" t="s">
        <v>147</v>
      </c>
      <c r="B89" s="1">
        <v>45341</v>
      </c>
      <c r="C89" t="s">
        <v>46</v>
      </c>
      <c r="D89" t="s">
        <v>79</v>
      </c>
      <c r="E89" t="s">
        <v>15</v>
      </c>
      <c r="F89" t="s">
        <v>16</v>
      </c>
      <c r="G89" t="s">
        <v>17</v>
      </c>
      <c r="H89">
        <v>12</v>
      </c>
      <c r="I89">
        <v>40686.019999999997</v>
      </c>
      <c r="J89" s="2">
        <v>0.2</v>
      </c>
      <c r="K89" t="s">
        <v>25</v>
      </c>
      <c r="L89">
        <v>390585.79</v>
      </c>
      <c r="M89" t="str">
        <f>TEXT(Table1[[#This Row],[OrderDate]], "mmm")</f>
        <v>Feb</v>
      </c>
      <c r="N89" t="str">
        <f>IF(Table1[[#This Row],[TotalSales]]&gt;50000,"High",IF(L89&gt;20000,"Medium","Low"))</f>
        <v>High</v>
      </c>
      <c r="O89">
        <f>Table1[[#This Row],[TotalSales]]/Table1[[#This Row],[Quantity]]</f>
        <v>32548.81583333333</v>
      </c>
    </row>
    <row r="90" spans="1:15" x14ac:dyDescent="0.35">
      <c r="A90" t="s">
        <v>148</v>
      </c>
      <c r="B90" s="1">
        <v>45599</v>
      </c>
      <c r="C90" t="s">
        <v>46</v>
      </c>
      <c r="D90" t="s">
        <v>79</v>
      </c>
      <c r="E90" t="s">
        <v>28</v>
      </c>
      <c r="F90" t="s">
        <v>104</v>
      </c>
      <c r="G90" t="s">
        <v>83</v>
      </c>
      <c r="H90">
        <v>5</v>
      </c>
      <c r="I90">
        <v>19470.21</v>
      </c>
      <c r="J90" s="2">
        <v>0.1</v>
      </c>
      <c r="K90" t="s">
        <v>44</v>
      </c>
      <c r="L90">
        <v>87615.94</v>
      </c>
      <c r="M90" t="str">
        <f>TEXT(Table1[[#This Row],[OrderDate]], "mmm")</f>
        <v>Nov</v>
      </c>
      <c r="N90" t="str">
        <f>IF(Table1[[#This Row],[TotalSales]]&gt;50000,"High",IF(L90&gt;20000,"Medium","Low"))</f>
        <v>High</v>
      </c>
      <c r="O90">
        <f>Table1[[#This Row],[TotalSales]]/Table1[[#This Row],[Quantity]]</f>
        <v>17523.188000000002</v>
      </c>
    </row>
    <row r="91" spans="1:15" x14ac:dyDescent="0.35">
      <c r="A91" t="s">
        <v>149</v>
      </c>
      <c r="B91" s="1">
        <v>45579</v>
      </c>
      <c r="C91" t="s">
        <v>20</v>
      </c>
      <c r="D91" t="s">
        <v>97</v>
      </c>
      <c r="E91" t="s">
        <v>15</v>
      </c>
      <c r="F91" t="s">
        <v>56</v>
      </c>
      <c r="G91" t="s">
        <v>49</v>
      </c>
      <c r="H91">
        <v>13</v>
      </c>
      <c r="I91">
        <v>45049.79</v>
      </c>
      <c r="J91" s="2">
        <v>0.1</v>
      </c>
      <c r="K91" t="s">
        <v>31</v>
      </c>
      <c r="L91">
        <v>527082.54</v>
      </c>
      <c r="M91" t="str">
        <f>TEXT(Table1[[#This Row],[OrderDate]], "mmm")</f>
        <v>Oct</v>
      </c>
      <c r="N91" t="str">
        <f>IF(Table1[[#This Row],[TotalSales]]&gt;50000,"High",IF(L91&gt;20000,"Medium","Low"))</f>
        <v>High</v>
      </c>
      <c r="O91">
        <f>Table1[[#This Row],[TotalSales]]/Table1[[#This Row],[Quantity]]</f>
        <v>40544.810769230775</v>
      </c>
    </row>
    <row r="92" spans="1:15" x14ac:dyDescent="0.35">
      <c r="A92" t="s">
        <v>150</v>
      </c>
      <c r="B92" s="1">
        <v>45471</v>
      </c>
      <c r="C92" t="s">
        <v>13</v>
      </c>
      <c r="D92" t="s">
        <v>37</v>
      </c>
      <c r="E92" t="s">
        <v>22</v>
      </c>
      <c r="F92" t="s">
        <v>52</v>
      </c>
      <c r="G92" t="s">
        <v>43</v>
      </c>
      <c r="H92">
        <v>1</v>
      </c>
      <c r="I92">
        <v>10141.02</v>
      </c>
      <c r="J92" s="2">
        <v>0</v>
      </c>
      <c r="K92" t="s">
        <v>31</v>
      </c>
      <c r="L92">
        <v>10141.02</v>
      </c>
      <c r="M92" t="str">
        <f>TEXT(Table1[[#This Row],[OrderDate]], "mmm")</f>
        <v>Jun</v>
      </c>
      <c r="N92" t="str">
        <f>IF(Table1[[#This Row],[TotalSales]]&gt;50000,"High",IF(L92&gt;20000,"Medium","Low"))</f>
        <v>Low</v>
      </c>
      <c r="O92">
        <f>Table1[[#This Row],[TotalSales]]/Table1[[#This Row],[Quantity]]</f>
        <v>10141.02</v>
      </c>
    </row>
    <row r="93" spans="1:15" x14ac:dyDescent="0.35">
      <c r="A93" t="s">
        <v>151</v>
      </c>
      <c r="B93" s="1">
        <v>45466</v>
      </c>
      <c r="C93" t="s">
        <v>40</v>
      </c>
      <c r="D93" t="s">
        <v>41</v>
      </c>
      <c r="E93" t="s">
        <v>22</v>
      </c>
      <c r="F93" t="s">
        <v>82</v>
      </c>
      <c r="G93" t="s">
        <v>24</v>
      </c>
      <c r="H93">
        <v>3</v>
      </c>
      <c r="I93">
        <v>20478.91</v>
      </c>
      <c r="J93" s="2">
        <v>0.15</v>
      </c>
      <c r="K93" t="s">
        <v>18</v>
      </c>
      <c r="L93">
        <v>52221.22</v>
      </c>
      <c r="M93" t="str">
        <f>TEXT(Table1[[#This Row],[OrderDate]], "mmm")</f>
        <v>Jun</v>
      </c>
      <c r="N93" t="str">
        <f>IF(Table1[[#This Row],[TotalSales]]&gt;50000,"High",IF(L93&gt;20000,"Medium","Low"))</f>
        <v>High</v>
      </c>
      <c r="O93">
        <f>Table1[[#This Row],[TotalSales]]/Table1[[#This Row],[Quantity]]</f>
        <v>17407.073333333334</v>
      </c>
    </row>
    <row r="94" spans="1:15" x14ac:dyDescent="0.35">
      <c r="A94" t="s">
        <v>152</v>
      </c>
      <c r="B94" s="1">
        <v>45630</v>
      </c>
      <c r="C94" t="s">
        <v>13</v>
      </c>
      <c r="D94" t="s">
        <v>37</v>
      </c>
      <c r="E94" t="s">
        <v>15</v>
      </c>
      <c r="F94" t="s">
        <v>16</v>
      </c>
      <c r="G94" t="s">
        <v>17</v>
      </c>
      <c r="H94">
        <v>7</v>
      </c>
      <c r="I94">
        <v>26814.26</v>
      </c>
      <c r="J94" s="2">
        <v>0.05</v>
      </c>
      <c r="K94" t="s">
        <v>44</v>
      </c>
      <c r="L94">
        <v>178314.83</v>
      </c>
      <c r="M94" t="str">
        <f>TEXT(Table1[[#This Row],[OrderDate]], "mmm")</f>
        <v>Dec</v>
      </c>
      <c r="N94" t="str">
        <f>IF(Table1[[#This Row],[TotalSales]]&gt;50000,"High",IF(L94&gt;20000,"Medium","Low"))</f>
        <v>High</v>
      </c>
      <c r="O94">
        <f>Table1[[#This Row],[TotalSales]]/Table1[[#This Row],[Quantity]]</f>
        <v>25473.54714285714</v>
      </c>
    </row>
    <row r="95" spans="1:15" x14ac:dyDescent="0.35">
      <c r="A95" t="s">
        <v>153</v>
      </c>
      <c r="B95" s="1">
        <v>45494</v>
      </c>
      <c r="C95" t="s">
        <v>46</v>
      </c>
      <c r="D95" t="s">
        <v>47</v>
      </c>
      <c r="E95" t="s">
        <v>34</v>
      </c>
      <c r="F95" t="s">
        <v>48</v>
      </c>
      <c r="G95" t="s">
        <v>83</v>
      </c>
      <c r="H95">
        <v>10</v>
      </c>
      <c r="I95">
        <v>3202.05</v>
      </c>
      <c r="J95" s="2">
        <v>0</v>
      </c>
      <c r="K95" t="s">
        <v>31</v>
      </c>
      <c r="L95">
        <v>32020.5</v>
      </c>
      <c r="M95" t="str">
        <f>TEXT(Table1[[#This Row],[OrderDate]], "mmm")</f>
        <v>Jul</v>
      </c>
      <c r="N95" t="str">
        <f>IF(Table1[[#This Row],[TotalSales]]&gt;50000,"High",IF(L95&gt;20000,"Medium","Low"))</f>
        <v>Medium</v>
      </c>
      <c r="O95">
        <f>Table1[[#This Row],[TotalSales]]/Table1[[#This Row],[Quantity]]</f>
        <v>3202.05</v>
      </c>
    </row>
    <row r="96" spans="1:15" x14ac:dyDescent="0.35">
      <c r="A96" t="s">
        <v>154</v>
      </c>
      <c r="B96" s="1">
        <v>45358</v>
      </c>
      <c r="C96" t="s">
        <v>40</v>
      </c>
      <c r="D96" t="s">
        <v>55</v>
      </c>
      <c r="E96" t="s">
        <v>15</v>
      </c>
      <c r="F96" t="s">
        <v>38</v>
      </c>
      <c r="G96" t="s">
        <v>43</v>
      </c>
      <c r="H96">
        <v>7</v>
      </c>
      <c r="I96">
        <v>29385.51</v>
      </c>
      <c r="J96" s="2">
        <v>0</v>
      </c>
      <c r="K96" t="s">
        <v>25</v>
      </c>
      <c r="L96">
        <v>205698.57</v>
      </c>
      <c r="M96" t="str">
        <f>TEXT(Table1[[#This Row],[OrderDate]], "mmm")</f>
        <v>Mar</v>
      </c>
      <c r="N96" t="str">
        <f>IF(Table1[[#This Row],[TotalSales]]&gt;50000,"High",IF(L96&gt;20000,"Medium","Low"))</f>
        <v>High</v>
      </c>
      <c r="O96">
        <f>Table1[[#This Row],[TotalSales]]/Table1[[#This Row],[Quantity]]</f>
        <v>29385.510000000002</v>
      </c>
    </row>
    <row r="97" spans="1:15" x14ac:dyDescent="0.35">
      <c r="A97" t="s">
        <v>155</v>
      </c>
      <c r="B97" s="1">
        <v>45586</v>
      </c>
      <c r="C97" t="s">
        <v>46</v>
      </c>
      <c r="D97" t="s">
        <v>79</v>
      </c>
      <c r="E97" t="s">
        <v>15</v>
      </c>
      <c r="F97" t="s">
        <v>38</v>
      </c>
      <c r="G97" t="s">
        <v>24</v>
      </c>
      <c r="H97">
        <v>7</v>
      </c>
      <c r="I97">
        <v>31622.3</v>
      </c>
      <c r="J97" s="2">
        <v>0.15</v>
      </c>
      <c r="K97" t="s">
        <v>25</v>
      </c>
      <c r="L97">
        <v>188152.68</v>
      </c>
      <c r="M97" t="str">
        <f>TEXT(Table1[[#This Row],[OrderDate]], "mmm")</f>
        <v>Oct</v>
      </c>
      <c r="N97" t="str">
        <f>IF(Table1[[#This Row],[TotalSales]]&gt;50000,"High",IF(L97&gt;20000,"Medium","Low"))</f>
        <v>High</v>
      </c>
      <c r="O97">
        <f>Table1[[#This Row],[TotalSales]]/Table1[[#This Row],[Quantity]]</f>
        <v>26878.954285714284</v>
      </c>
    </row>
    <row r="98" spans="1:15" x14ac:dyDescent="0.35">
      <c r="A98" t="s">
        <v>156</v>
      </c>
      <c r="B98" s="1">
        <v>45416</v>
      </c>
      <c r="C98" t="s">
        <v>40</v>
      </c>
      <c r="D98" t="s">
        <v>55</v>
      </c>
      <c r="E98" t="s">
        <v>28</v>
      </c>
      <c r="F98" t="s">
        <v>76</v>
      </c>
      <c r="G98" t="s">
        <v>24</v>
      </c>
      <c r="H98">
        <v>7</v>
      </c>
      <c r="I98">
        <v>32470.15</v>
      </c>
      <c r="J98" s="2">
        <v>0.1</v>
      </c>
      <c r="K98" t="s">
        <v>31</v>
      </c>
      <c r="L98">
        <v>204561.95</v>
      </c>
      <c r="M98" t="str">
        <f>TEXT(Table1[[#This Row],[OrderDate]], "mmm")</f>
        <v>May</v>
      </c>
      <c r="N98" t="str">
        <f>IF(Table1[[#This Row],[TotalSales]]&gt;50000,"High",IF(L98&gt;20000,"Medium","Low"))</f>
        <v>High</v>
      </c>
      <c r="O98">
        <f>Table1[[#This Row],[TotalSales]]/Table1[[#This Row],[Quantity]]</f>
        <v>29223.135714285716</v>
      </c>
    </row>
    <row r="99" spans="1:15" x14ac:dyDescent="0.35">
      <c r="A99" t="s">
        <v>157</v>
      </c>
      <c r="B99" s="1">
        <v>45622</v>
      </c>
      <c r="C99" t="s">
        <v>13</v>
      </c>
      <c r="D99" t="s">
        <v>37</v>
      </c>
      <c r="E99" t="s">
        <v>15</v>
      </c>
      <c r="F99" t="s">
        <v>59</v>
      </c>
      <c r="G99" t="s">
        <v>17</v>
      </c>
      <c r="H99">
        <v>14</v>
      </c>
      <c r="I99">
        <v>8293.4</v>
      </c>
      <c r="J99" s="2">
        <v>0</v>
      </c>
      <c r="K99" t="s">
        <v>18</v>
      </c>
      <c r="L99">
        <v>116107.6</v>
      </c>
      <c r="M99" t="str">
        <f>TEXT(Table1[[#This Row],[OrderDate]], "mmm")</f>
        <v>Nov</v>
      </c>
      <c r="N99" t="str">
        <f>IF(Table1[[#This Row],[TotalSales]]&gt;50000,"High",IF(L99&gt;20000,"Medium","Low"))</f>
        <v>High</v>
      </c>
      <c r="O99">
        <f>Table1[[#This Row],[TotalSales]]/Table1[[#This Row],[Quantity]]</f>
        <v>8293.4</v>
      </c>
    </row>
    <row r="100" spans="1:15" x14ac:dyDescent="0.35">
      <c r="A100" t="s">
        <v>158</v>
      </c>
      <c r="B100" s="1">
        <v>45581</v>
      </c>
      <c r="C100" t="s">
        <v>40</v>
      </c>
      <c r="D100" t="s">
        <v>51</v>
      </c>
      <c r="E100" t="s">
        <v>34</v>
      </c>
      <c r="F100" t="s">
        <v>88</v>
      </c>
      <c r="G100" t="s">
        <v>30</v>
      </c>
      <c r="H100">
        <v>11</v>
      </c>
      <c r="I100">
        <v>35014.35</v>
      </c>
      <c r="J100" s="2">
        <v>0.1</v>
      </c>
      <c r="K100" t="s">
        <v>25</v>
      </c>
      <c r="L100">
        <v>346642.07</v>
      </c>
      <c r="M100" t="str">
        <f>TEXT(Table1[[#This Row],[OrderDate]], "mmm")</f>
        <v>Oct</v>
      </c>
      <c r="N100" t="str">
        <f>IF(Table1[[#This Row],[TotalSales]]&gt;50000,"High",IF(L100&gt;20000,"Medium","Low"))</f>
        <v>High</v>
      </c>
      <c r="O100">
        <f>Table1[[#This Row],[TotalSales]]/Table1[[#This Row],[Quantity]]</f>
        <v>31512.915454545455</v>
      </c>
    </row>
    <row r="101" spans="1:15" x14ac:dyDescent="0.35">
      <c r="A101" t="s">
        <v>159</v>
      </c>
      <c r="B101" s="1">
        <v>45551</v>
      </c>
      <c r="C101" t="s">
        <v>46</v>
      </c>
      <c r="D101" t="s">
        <v>79</v>
      </c>
      <c r="E101" t="s">
        <v>28</v>
      </c>
      <c r="F101" t="s">
        <v>29</v>
      </c>
      <c r="G101" t="s">
        <v>17</v>
      </c>
      <c r="H101">
        <v>2</v>
      </c>
      <c r="I101">
        <v>17210.349999999999</v>
      </c>
      <c r="J101" s="2">
        <v>0.05</v>
      </c>
      <c r="K101" t="s">
        <v>25</v>
      </c>
      <c r="L101">
        <v>32699.66</v>
      </c>
      <c r="M101" t="str">
        <f>TEXT(Table1[[#This Row],[OrderDate]], "mmm")</f>
        <v>Sep</v>
      </c>
      <c r="N101" t="str">
        <f>IF(Table1[[#This Row],[TotalSales]]&gt;50000,"High",IF(L101&gt;20000,"Medium","Low"))</f>
        <v>Medium</v>
      </c>
      <c r="O101">
        <f>Table1[[#This Row],[TotalSales]]/Table1[[#This Row],[Quantity]]</f>
        <v>16349.83</v>
      </c>
    </row>
    <row r="102" spans="1:15" x14ac:dyDescent="0.35">
      <c r="A102" t="s">
        <v>160</v>
      </c>
      <c r="B102" s="1">
        <v>45625</v>
      </c>
      <c r="C102" t="s">
        <v>40</v>
      </c>
      <c r="D102" t="s">
        <v>51</v>
      </c>
      <c r="E102" t="s">
        <v>34</v>
      </c>
      <c r="F102" t="s">
        <v>35</v>
      </c>
      <c r="G102" t="s">
        <v>83</v>
      </c>
      <c r="H102">
        <v>4</v>
      </c>
      <c r="I102">
        <v>17819.669999999998</v>
      </c>
      <c r="J102" s="2">
        <v>0.05</v>
      </c>
      <c r="K102" t="s">
        <v>31</v>
      </c>
      <c r="L102">
        <v>67714.75</v>
      </c>
      <c r="M102" t="str">
        <f>TEXT(Table1[[#This Row],[OrderDate]], "mmm")</f>
        <v>Nov</v>
      </c>
      <c r="N102" t="str">
        <f>IF(Table1[[#This Row],[TotalSales]]&gt;50000,"High",IF(L102&gt;20000,"Medium","Low"))</f>
        <v>High</v>
      </c>
      <c r="O102">
        <f>Table1[[#This Row],[TotalSales]]/Table1[[#This Row],[Quantity]]</f>
        <v>16928.6875</v>
      </c>
    </row>
    <row r="103" spans="1:15" x14ac:dyDescent="0.35">
      <c r="A103" t="s">
        <v>161</v>
      </c>
      <c r="B103" s="1">
        <v>45516</v>
      </c>
      <c r="C103" t="s">
        <v>20</v>
      </c>
      <c r="D103" t="s">
        <v>21</v>
      </c>
      <c r="E103" t="s">
        <v>22</v>
      </c>
      <c r="F103" t="s">
        <v>23</v>
      </c>
      <c r="G103" t="s">
        <v>83</v>
      </c>
      <c r="H103">
        <v>8</v>
      </c>
      <c r="I103">
        <v>28918.959999999999</v>
      </c>
      <c r="J103" s="2">
        <v>0.1</v>
      </c>
      <c r="K103" t="s">
        <v>31</v>
      </c>
      <c r="L103">
        <v>208216.51</v>
      </c>
      <c r="M103" t="str">
        <f>TEXT(Table1[[#This Row],[OrderDate]], "mmm")</f>
        <v>Aug</v>
      </c>
      <c r="N103" t="str">
        <f>IF(Table1[[#This Row],[TotalSales]]&gt;50000,"High",IF(L103&gt;20000,"Medium","Low"))</f>
        <v>High</v>
      </c>
      <c r="O103">
        <f>Table1[[#This Row],[TotalSales]]/Table1[[#This Row],[Quantity]]</f>
        <v>26027.063750000001</v>
      </c>
    </row>
    <row r="104" spans="1:15" x14ac:dyDescent="0.35">
      <c r="A104" t="s">
        <v>162</v>
      </c>
      <c r="B104" s="1">
        <v>45577</v>
      </c>
      <c r="C104" t="s">
        <v>13</v>
      </c>
      <c r="D104" t="s">
        <v>14</v>
      </c>
      <c r="E104" t="s">
        <v>28</v>
      </c>
      <c r="F104" t="s">
        <v>76</v>
      </c>
      <c r="G104" t="s">
        <v>83</v>
      </c>
      <c r="H104">
        <v>11</v>
      </c>
      <c r="I104">
        <v>21383.72</v>
      </c>
      <c r="J104" s="2">
        <v>0</v>
      </c>
      <c r="K104" t="s">
        <v>31</v>
      </c>
      <c r="L104">
        <v>235220.92</v>
      </c>
      <c r="M104" t="str">
        <f>TEXT(Table1[[#This Row],[OrderDate]], "mmm")</f>
        <v>Oct</v>
      </c>
      <c r="N104" t="str">
        <f>IF(Table1[[#This Row],[TotalSales]]&gt;50000,"High",IF(L104&gt;20000,"Medium","Low"))</f>
        <v>High</v>
      </c>
      <c r="O104">
        <f>Table1[[#This Row],[TotalSales]]/Table1[[#This Row],[Quantity]]</f>
        <v>21383.72</v>
      </c>
    </row>
    <row r="105" spans="1:15" x14ac:dyDescent="0.35">
      <c r="A105" t="s">
        <v>163</v>
      </c>
      <c r="B105" s="1">
        <v>45649</v>
      </c>
      <c r="C105" t="s">
        <v>13</v>
      </c>
      <c r="D105" t="s">
        <v>33</v>
      </c>
      <c r="E105" t="s">
        <v>22</v>
      </c>
      <c r="F105" t="s">
        <v>52</v>
      </c>
      <c r="G105" t="s">
        <v>83</v>
      </c>
      <c r="H105">
        <v>11</v>
      </c>
      <c r="I105">
        <v>21679.3</v>
      </c>
      <c r="J105" s="2">
        <v>0.1</v>
      </c>
      <c r="K105" t="s">
        <v>18</v>
      </c>
      <c r="L105">
        <v>214625.07</v>
      </c>
      <c r="M105" t="str">
        <f>TEXT(Table1[[#This Row],[OrderDate]], "mmm")</f>
        <v>Dec</v>
      </c>
      <c r="N105" t="str">
        <f>IF(Table1[[#This Row],[TotalSales]]&gt;50000,"High",IF(L105&gt;20000,"Medium","Low"))</f>
        <v>High</v>
      </c>
      <c r="O105">
        <f>Table1[[#This Row],[TotalSales]]/Table1[[#This Row],[Quantity]]</f>
        <v>19511.37</v>
      </c>
    </row>
    <row r="106" spans="1:15" x14ac:dyDescent="0.35">
      <c r="A106" t="s">
        <v>164</v>
      </c>
      <c r="B106" s="1">
        <v>45477</v>
      </c>
      <c r="C106" t="s">
        <v>13</v>
      </c>
      <c r="D106" t="s">
        <v>14</v>
      </c>
      <c r="E106" t="s">
        <v>15</v>
      </c>
      <c r="F106" t="s">
        <v>38</v>
      </c>
      <c r="G106" t="s">
        <v>24</v>
      </c>
      <c r="H106">
        <v>5</v>
      </c>
      <c r="I106">
        <v>10078.41</v>
      </c>
      <c r="J106" s="2">
        <v>0</v>
      </c>
      <c r="K106" t="s">
        <v>31</v>
      </c>
      <c r="L106">
        <v>50392.05</v>
      </c>
      <c r="M106" t="str">
        <f>TEXT(Table1[[#This Row],[OrderDate]], "mmm")</f>
        <v>Jul</v>
      </c>
      <c r="N106" t="str">
        <f>IF(Table1[[#This Row],[TotalSales]]&gt;50000,"High",IF(L106&gt;20000,"Medium","Low"))</f>
        <v>High</v>
      </c>
      <c r="O106">
        <f>Table1[[#This Row],[TotalSales]]/Table1[[#This Row],[Quantity]]</f>
        <v>10078.41</v>
      </c>
    </row>
    <row r="107" spans="1:15" x14ac:dyDescent="0.35">
      <c r="A107" t="s">
        <v>165</v>
      </c>
      <c r="B107" s="1">
        <v>45464</v>
      </c>
      <c r="C107" t="s">
        <v>46</v>
      </c>
      <c r="D107" t="s">
        <v>71</v>
      </c>
      <c r="E107" t="s">
        <v>28</v>
      </c>
      <c r="F107" t="s">
        <v>76</v>
      </c>
      <c r="G107" t="s">
        <v>24</v>
      </c>
      <c r="H107">
        <v>15</v>
      </c>
      <c r="I107">
        <v>42193.66</v>
      </c>
      <c r="J107" s="2">
        <v>0</v>
      </c>
      <c r="K107" t="s">
        <v>25</v>
      </c>
      <c r="L107">
        <v>632904.9</v>
      </c>
      <c r="M107" t="str">
        <f>TEXT(Table1[[#This Row],[OrderDate]], "mmm")</f>
        <v>Jun</v>
      </c>
      <c r="N107" t="str">
        <f>IF(Table1[[#This Row],[TotalSales]]&gt;50000,"High",IF(L107&gt;20000,"Medium","Low"))</f>
        <v>High</v>
      </c>
      <c r="O107">
        <f>Table1[[#This Row],[TotalSales]]/Table1[[#This Row],[Quantity]]</f>
        <v>42193.66</v>
      </c>
    </row>
    <row r="108" spans="1:15" x14ac:dyDescent="0.35">
      <c r="A108" t="s">
        <v>166</v>
      </c>
      <c r="B108" s="1">
        <v>45413</v>
      </c>
      <c r="C108" t="s">
        <v>13</v>
      </c>
      <c r="D108" t="s">
        <v>33</v>
      </c>
      <c r="E108" t="s">
        <v>15</v>
      </c>
      <c r="F108" t="s">
        <v>38</v>
      </c>
      <c r="G108" t="s">
        <v>30</v>
      </c>
      <c r="H108">
        <v>8</v>
      </c>
      <c r="I108">
        <v>33660.629999999997</v>
      </c>
      <c r="J108" s="2">
        <v>0.2</v>
      </c>
      <c r="K108" t="s">
        <v>18</v>
      </c>
      <c r="L108">
        <v>215428.03</v>
      </c>
      <c r="M108" t="str">
        <f>TEXT(Table1[[#This Row],[OrderDate]], "mmm")</f>
        <v>May</v>
      </c>
      <c r="N108" t="str">
        <f>IF(Table1[[#This Row],[TotalSales]]&gt;50000,"High",IF(L108&gt;20000,"Medium","Low"))</f>
        <v>High</v>
      </c>
      <c r="O108">
        <f>Table1[[#This Row],[TotalSales]]/Table1[[#This Row],[Quantity]]</f>
        <v>26928.50375</v>
      </c>
    </row>
    <row r="109" spans="1:15" x14ac:dyDescent="0.35">
      <c r="A109" t="s">
        <v>167</v>
      </c>
      <c r="B109" s="1">
        <v>45487</v>
      </c>
      <c r="C109" t="s">
        <v>40</v>
      </c>
      <c r="D109" t="s">
        <v>41</v>
      </c>
      <c r="E109" t="s">
        <v>28</v>
      </c>
      <c r="F109" t="s">
        <v>104</v>
      </c>
      <c r="G109" t="s">
        <v>30</v>
      </c>
      <c r="H109">
        <v>9</v>
      </c>
      <c r="I109">
        <v>29104.799999999999</v>
      </c>
      <c r="J109" s="2">
        <v>0</v>
      </c>
      <c r="K109" t="s">
        <v>44</v>
      </c>
      <c r="L109">
        <v>261943.2</v>
      </c>
      <c r="M109" t="str">
        <f>TEXT(Table1[[#This Row],[OrderDate]], "mmm")</f>
        <v>Jul</v>
      </c>
      <c r="N109" t="str">
        <f>IF(Table1[[#This Row],[TotalSales]]&gt;50000,"High",IF(L109&gt;20000,"Medium","Low"))</f>
        <v>High</v>
      </c>
      <c r="O109">
        <f>Table1[[#This Row],[TotalSales]]/Table1[[#This Row],[Quantity]]</f>
        <v>29104.800000000003</v>
      </c>
    </row>
    <row r="110" spans="1:15" x14ac:dyDescent="0.35">
      <c r="A110" t="s">
        <v>168</v>
      </c>
      <c r="B110" s="1">
        <v>45374</v>
      </c>
      <c r="C110" t="s">
        <v>13</v>
      </c>
      <c r="D110" t="s">
        <v>14</v>
      </c>
      <c r="E110" t="s">
        <v>15</v>
      </c>
      <c r="F110" t="s">
        <v>16</v>
      </c>
      <c r="G110" t="s">
        <v>30</v>
      </c>
      <c r="H110">
        <v>5</v>
      </c>
      <c r="I110">
        <v>24822.69</v>
      </c>
      <c r="J110" s="2">
        <v>0.1</v>
      </c>
      <c r="K110" t="s">
        <v>44</v>
      </c>
      <c r="L110">
        <v>111702.1</v>
      </c>
      <c r="M110" t="str">
        <f>TEXT(Table1[[#This Row],[OrderDate]], "mmm")</f>
        <v>Mar</v>
      </c>
      <c r="N110" t="str">
        <f>IF(Table1[[#This Row],[TotalSales]]&gt;50000,"High",IF(L110&gt;20000,"Medium","Low"))</f>
        <v>High</v>
      </c>
      <c r="O110">
        <f>Table1[[#This Row],[TotalSales]]/Table1[[#This Row],[Quantity]]</f>
        <v>22340.420000000002</v>
      </c>
    </row>
    <row r="111" spans="1:15" x14ac:dyDescent="0.35">
      <c r="A111" t="s">
        <v>169</v>
      </c>
      <c r="B111" s="1">
        <v>45549</v>
      </c>
      <c r="C111" t="s">
        <v>46</v>
      </c>
      <c r="D111" t="s">
        <v>79</v>
      </c>
      <c r="E111" t="s">
        <v>15</v>
      </c>
      <c r="F111" t="s">
        <v>38</v>
      </c>
      <c r="G111" t="s">
        <v>83</v>
      </c>
      <c r="H111">
        <v>6</v>
      </c>
      <c r="I111">
        <v>13120.64</v>
      </c>
      <c r="J111" s="2">
        <v>0</v>
      </c>
      <c r="K111" t="s">
        <v>18</v>
      </c>
      <c r="L111">
        <v>78723.839999999997</v>
      </c>
      <c r="M111" t="str">
        <f>TEXT(Table1[[#This Row],[OrderDate]], "mmm")</f>
        <v>Sep</v>
      </c>
      <c r="N111" t="str">
        <f>IF(Table1[[#This Row],[TotalSales]]&gt;50000,"High",IF(L111&gt;20000,"Medium","Low"))</f>
        <v>High</v>
      </c>
      <c r="O111">
        <f>Table1[[#This Row],[TotalSales]]/Table1[[#This Row],[Quantity]]</f>
        <v>13120.64</v>
      </c>
    </row>
    <row r="112" spans="1:15" x14ac:dyDescent="0.35">
      <c r="A112" t="s">
        <v>170</v>
      </c>
      <c r="B112" s="1">
        <v>45648</v>
      </c>
      <c r="C112" t="s">
        <v>13</v>
      </c>
      <c r="D112" t="s">
        <v>37</v>
      </c>
      <c r="E112" t="s">
        <v>22</v>
      </c>
      <c r="F112" t="s">
        <v>23</v>
      </c>
      <c r="G112" t="s">
        <v>69</v>
      </c>
      <c r="H112">
        <v>14</v>
      </c>
      <c r="I112">
        <v>7805.84</v>
      </c>
      <c r="J112" s="2">
        <v>0.15</v>
      </c>
      <c r="K112" t="s">
        <v>18</v>
      </c>
      <c r="L112">
        <f>(Table1[[#This Row],[Quantity]]*Table1[[#This Row],[UnitPrice]])-(Table1[[#This Row],[Quantity]]*Table1[[#This Row],[UnitPrice]])*Table1[[#This Row],[Discount%]]</f>
        <v>92889.496000000014</v>
      </c>
      <c r="M112" t="str">
        <f>TEXT(Table1[[#This Row],[OrderDate]], "mmm")</f>
        <v>Dec</v>
      </c>
      <c r="N112" t="str">
        <f>IF(Table1[[#This Row],[TotalSales]]&gt;50000,"High",IF(L112&gt;20000,"Medium","Low"))</f>
        <v>High</v>
      </c>
      <c r="O112">
        <f>Table1[[#This Row],[TotalSales]]/Table1[[#This Row],[Quantity]]</f>
        <v>6634.9640000000009</v>
      </c>
    </row>
    <row r="113" spans="1:15" x14ac:dyDescent="0.35">
      <c r="A113" t="s">
        <v>171</v>
      </c>
      <c r="B113" s="1">
        <v>45446</v>
      </c>
      <c r="C113" t="s">
        <v>13</v>
      </c>
      <c r="D113" t="s">
        <v>14</v>
      </c>
      <c r="E113" t="s">
        <v>34</v>
      </c>
      <c r="F113" t="s">
        <v>35</v>
      </c>
      <c r="G113" t="s">
        <v>30</v>
      </c>
      <c r="H113">
        <v>2</v>
      </c>
      <c r="I113">
        <v>2816.67</v>
      </c>
      <c r="J113" s="2">
        <v>0.05</v>
      </c>
      <c r="K113" t="s">
        <v>31</v>
      </c>
      <c r="L113">
        <v>5351.67</v>
      </c>
      <c r="M113" t="str">
        <f>TEXT(Table1[[#This Row],[OrderDate]], "mmm")</f>
        <v>Jun</v>
      </c>
      <c r="N113" t="str">
        <f>IF(Table1[[#This Row],[TotalSales]]&gt;50000,"High",IF(L113&gt;20000,"Medium","Low"))</f>
        <v>Low</v>
      </c>
      <c r="O113">
        <f>Table1[[#This Row],[TotalSales]]/Table1[[#This Row],[Quantity]]</f>
        <v>2675.835</v>
      </c>
    </row>
    <row r="114" spans="1:15" x14ac:dyDescent="0.35">
      <c r="A114" t="s">
        <v>172</v>
      </c>
      <c r="B114" s="1">
        <v>45292</v>
      </c>
      <c r="C114" t="s">
        <v>13</v>
      </c>
      <c r="D114" t="s">
        <v>37</v>
      </c>
      <c r="E114" t="s">
        <v>22</v>
      </c>
      <c r="F114" t="s">
        <v>42</v>
      </c>
      <c r="G114" t="s">
        <v>17</v>
      </c>
      <c r="H114">
        <v>10</v>
      </c>
      <c r="I114">
        <v>19534.32</v>
      </c>
      <c r="J114" s="2">
        <v>0.1</v>
      </c>
      <c r="K114" t="s">
        <v>31</v>
      </c>
      <c r="L114">
        <v>175808.88</v>
      </c>
      <c r="M114" t="str">
        <f>TEXT(Table1[[#This Row],[OrderDate]], "mmm")</f>
        <v>Jan</v>
      </c>
      <c r="N114" t="str">
        <f>IF(Table1[[#This Row],[TotalSales]]&gt;50000,"High",IF(L114&gt;20000,"Medium","Low"))</f>
        <v>High</v>
      </c>
      <c r="O114">
        <f>Table1[[#This Row],[TotalSales]]/Table1[[#This Row],[Quantity]]</f>
        <v>17580.887999999999</v>
      </c>
    </row>
    <row r="115" spans="1:15" x14ac:dyDescent="0.35">
      <c r="A115" t="s">
        <v>173</v>
      </c>
      <c r="B115" s="1">
        <v>45490</v>
      </c>
      <c r="C115" t="s">
        <v>46</v>
      </c>
      <c r="D115" t="s">
        <v>71</v>
      </c>
      <c r="E115" t="s">
        <v>34</v>
      </c>
      <c r="F115" t="s">
        <v>88</v>
      </c>
      <c r="G115" t="s">
        <v>17</v>
      </c>
      <c r="H115">
        <v>6</v>
      </c>
      <c r="I115">
        <v>14100.03</v>
      </c>
      <c r="J115" s="2">
        <v>0</v>
      </c>
      <c r="K115" t="s">
        <v>44</v>
      </c>
      <c r="L115">
        <v>84600.18</v>
      </c>
      <c r="M115" t="str">
        <f>TEXT(Table1[[#This Row],[OrderDate]], "mmm")</f>
        <v>Jul</v>
      </c>
      <c r="N115" t="str">
        <f>IF(Table1[[#This Row],[TotalSales]]&gt;50000,"High",IF(L115&gt;20000,"Medium","Low"))</f>
        <v>High</v>
      </c>
      <c r="O115">
        <f>Table1[[#This Row],[TotalSales]]/Table1[[#This Row],[Quantity]]</f>
        <v>14100.029999999999</v>
      </c>
    </row>
    <row r="116" spans="1:15" x14ac:dyDescent="0.35">
      <c r="A116" t="s">
        <v>174</v>
      </c>
      <c r="B116" s="1">
        <v>45465</v>
      </c>
      <c r="C116" t="s">
        <v>13</v>
      </c>
      <c r="D116" t="s">
        <v>33</v>
      </c>
      <c r="E116" t="s">
        <v>22</v>
      </c>
      <c r="F116" t="s">
        <v>23</v>
      </c>
      <c r="G116" t="s">
        <v>24</v>
      </c>
      <c r="H116">
        <v>14</v>
      </c>
      <c r="I116">
        <v>35425.199999999997</v>
      </c>
      <c r="J116" s="2">
        <v>0.2</v>
      </c>
      <c r="K116" t="s">
        <v>31</v>
      </c>
      <c r="L116">
        <v>396762.24</v>
      </c>
      <c r="M116" t="str">
        <f>TEXT(Table1[[#This Row],[OrderDate]], "mmm")</f>
        <v>Jun</v>
      </c>
      <c r="N116" t="str">
        <f>IF(Table1[[#This Row],[TotalSales]]&gt;50000,"High",IF(L116&gt;20000,"Medium","Low"))</f>
        <v>High</v>
      </c>
      <c r="O116">
        <f>Table1[[#This Row],[TotalSales]]/Table1[[#This Row],[Quantity]]</f>
        <v>28340.16</v>
      </c>
    </row>
    <row r="117" spans="1:15" x14ac:dyDescent="0.35">
      <c r="A117" t="s">
        <v>175</v>
      </c>
      <c r="B117" s="1">
        <v>45314</v>
      </c>
      <c r="C117" t="s">
        <v>13</v>
      </c>
      <c r="D117" t="s">
        <v>14</v>
      </c>
      <c r="E117" t="s">
        <v>34</v>
      </c>
      <c r="F117" t="s">
        <v>35</v>
      </c>
      <c r="G117" t="s">
        <v>30</v>
      </c>
      <c r="H117">
        <v>13</v>
      </c>
      <c r="I117">
        <v>11130.95</v>
      </c>
      <c r="J117" s="2">
        <v>0</v>
      </c>
      <c r="K117" t="s">
        <v>44</v>
      </c>
      <c r="L117">
        <v>144702.35</v>
      </c>
      <c r="M117" t="str">
        <f>TEXT(Table1[[#This Row],[OrderDate]], "mmm")</f>
        <v>Jan</v>
      </c>
      <c r="N117" t="str">
        <f>IF(Table1[[#This Row],[TotalSales]]&gt;50000,"High",IF(L117&gt;20000,"Medium","Low"))</f>
        <v>High</v>
      </c>
      <c r="O117">
        <f>Table1[[#This Row],[TotalSales]]/Table1[[#This Row],[Quantity]]</f>
        <v>11130.95</v>
      </c>
    </row>
    <row r="118" spans="1:15" x14ac:dyDescent="0.35">
      <c r="A118" t="s">
        <v>176</v>
      </c>
      <c r="B118" s="1">
        <v>45316</v>
      </c>
      <c r="C118" t="s">
        <v>13</v>
      </c>
      <c r="D118" t="s">
        <v>37</v>
      </c>
      <c r="E118" t="s">
        <v>15</v>
      </c>
      <c r="F118" t="s">
        <v>59</v>
      </c>
      <c r="G118" t="s">
        <v>66</v>
      </c>
      <c r="H118">
        <v>14</v>
      </c>
      <c r="I118">
        <v>36134.080000000002</v>
      </c>
      <c r="J118" s="2">
        <v>0</v>
      </c>
      <c r="K118" t="s">
        <v>44</v>
      </c>
      <c r="L118">
        <v>505877.12</v>
      </c>
      <c r="M118" t="str">
        <f>TEXT(Table1[[#This Row],[OrderDate]], "mmm")</f>
        <v>Jan</v>
      </c>
      <c r="N118" t="str">
        <f>IF(Table1[[#This Row],[TotalSales]]&gt;50000,"High",IF(L118&gt;20000,"Medium","Low"))</f>
        <v>High</v>
      </c>
      <c r="O118">
        <f>Table1[[#This Row],[TotalSales]]/Table1[[#This Row],[Quantity]]</f>
        <v>36134.080000000002</v>
      </c>
    </row>
    <row r="119" spans="1:15" x14ac:dyDescent="0.35">
      <c r="A119" t="s">
        <v>177</v>
      </c>
      <c r="B119" s="1">
        <v>45557</v>
      </c>
      <c r="C119" t="s">
        <v>40</v>
      </c>
      <c r="D119" t="s">
        <v>41</v>
      </c>
      <c r="E119" t="s">
        <v>22</v>
      </c>
      <c r="F119" t="s">
        <v>82</v>
      </c>
      <c r="G119" t="s">
        <v>49</v>
      </c>
      <c r="H119">
        <v>5</v>
      </c>
      <c r="I119">
        <v>44102.92</v>
      </c>
      <c r="J119" s="2">
        <v>0.15</v>
      </c>
      <c r="K119" t="s">
        <v>44</v>
      </c>
      <c r="L119">
        <v>187437.41</v>
      </c>
      <c r="M119" t="str">
        <f>TEXT(Table1[[#This Row],[OrderDate]], "mmm")</f>
        <v>Sep</v>
      </c>
      <c r="N119" t="str">
        <f>IF(Table1[[#This Row],[TotalSales]]&gt;50000,"High",IF(L119&gt;20000,"Medium","Low"))</f>
        <v>High</v>
      </c>
      <c r="O119">
        <f>Table1[[#This Row],[TotalSales]]/Table1[[#This Row],[Quantity]]</f>
        <v>37487.482000000004</v>
      </c>
    </row>
    <row r="120" spans="1:15" x14ac:dyDescent="0.35">
      <c r="A120" t="s">
        <v>178</v>
      </c>
      <c r="B120" s="1">
        <v>45443</v>
      </c>
      <c r="C120" t="s">
        <v>13</v>
      </c>
      <c r="D120" t="s">
        <v>33</v>
      </c>
      <c r="E120" t="s">
        <v>15</v>
      </c>
      <c r="F120" t="s">
        <v>16</v>
      </c>
      <c r="G120" t="s">
        <v>83</v>
      </c>
      <c r="H120">
        <v>5</v>
      </c>
      <c r="I120">
        <v>24636.18</v>
      </c>
      <c r="J120" s="2">
        <v>0.15</v>
      </c>
      <c r="K120" t="s">
        <v>25</v>
      </c>
      <c r="L120">
        <v>104703.76</v>
      </c>
      <c r="M120" t="str">
        <f>TEXT(Table1[[#This Row],[OrderDate]], "mmm")</f>
        <v>May</v>
      </c>
      <c r="N120" t="str">
        <f>IF(Table1[[#This Row],[TotalSales]]&gt;50000,"High",IF(L120&gt;20000,"Medium","Low"))</f>
        <v>High</v>
      </c>
      <c r="O120">
        <f>Table1[[#This Row],[TotalSales]]/Table1[[#This Row],[Quantity]]</f>
        <v>20940.752</v>
      </c>
    </row>
    <row r="121" spans="1:15" x14ac:dyDescent="0.35">
      <c r="A121" t="s">
        <v>179</v>
      </c>
      <c r="B121" s="1">
        <v>45618</v>
      </c>
      <c r="C121" t="s">
        <v>46</v>
      </c>
      <c r="D121" t="s">
        <v>71</v>
      </c>
      <c r="E121" t="s">
        <v>28</v>
      </c>
      <c r="F121" t="s">
        <v>76</v>
      </c>
      <c r="G121" t="s">
        <v>30</v>
      </c>
      <c r="H121">
        <v>7</v>
      </c>
      <c r="I121">
        <v>20109.45</v>
      </c>
      <c r="J121" s="2">
        <v>0.2</v>
      </c>
      <c r="K121" t="s">
        <v>31</v>
      </c>
      <c r="L121">
        <v>112612.92</v>
      </c>
      <c r="M121" t="str">
        <f>TEXT(Table1[[#This Row],[OrderDate]], "mmm")</f>
        <v>Nov</v>
      </c>
      <c r="N121" t="str">
        <f>IF(Table1[[#This Row],[TotalSales]]&gt;50000,"High",IF(L121&gt;20000,"Medium","Low"))</f>
        <v>High</v>
      </c>
      <c r="O121">
        <f>Table1[[#This Row],[TotalSales]]/Table1[[#This Row],[Quantity]]</f>
        <v>16087.56</v>
      </c>
    </row>
    <row r="122" spans="1:15" x14ac:dyDescent="0.35">
      <c r="A122" t="s">
        <v>180</v>
      </c>
      <c r="B122" s="1">
        <v>45479</v>
      </c>
      <c r="C122" t="s">
        <v>20</v>
      </c>
      <c r="D122" t="s">
        <v>21</v>
      </c>
      <c r="E122" t="s">
        <v>22</v>
      </c>
      <c r="F122" t="s">
        <v>23</v>
      </c>
      <c r="G122" t="s">
        <v>30</v>
      </c>
      <c r="H122">
        <v>6</v>
      </c>
      <c r="I122">
        <v>21180.42</v>
      </c>
      <c r="J122" s="2">
        <v>0.1</v>
      </c>
      <c r="K122" t="s">
        <v>31</v>
      </c>
      <c r="L122">
        <v>114374.27</v>
      </c>
      <c r="M122" t="str">
        <f>TEXT(Table1[[#This Row],[OrderDate]], "mmm")</f>
        <v>Jul</v>
      </c>
      <c r="N122" t="str">
        <f>IF(Table1[[#This Row],[TotalSales]]&gt;50000,"High",IF(L122&gt;20000,"Medium","Low"))</f>
        <v>High</v>
      </c>
      <c r="O122">
        <f>Table1[[#This Row],[TotalSales]]/Table1[[#This Row],[Quantity]]</f>
        <v>19062.378333333334</v>
      </c>
    </row>
    <row r="123" spans="1:15" x14ac:dyDescent="0.35">
      <c r="A123" t="s">
        <v>181</v>
      </c>
      <c r="B123" s="1">
        <v>45624</v>
      </c>
      <c r="C123" t="s">
        <v>40</v>
      </c>
      <c r="D123" t="s">
        <v>41</v>
      </c>
      <c r="E123" t="s">
        <v>22</v>
      </c>
      <c r="F123" t="s">
        <v>52</v>
      </c>
      <c r="G123" t="s">
        <v>17</v>
      </c>
      <c r="H123">
        <v>5</v>
      </c>
      <c r="I123">
        <v>13878.72</v>
      </c>
      <c r="J123" s="2">
        <v>0</v>
      </c>
      <c r="K123" t="s">
        <v>44</v>
      </c>
      <c r="L123">
        <v>69393.600000000006</v>
      </c>
      <c r="M123" t="str">
        <f>TEXT(Table1[[#This Row],[OrderDate]], "mmm")</f>
        <v>Nov</v>
      </c>
      <c r="N123" t="str">
        <f>IF(Table1[[#This Row],[TotalSales]]&gt;50000,"High",IF(L123&gt;20000,"Medium","Low"))</f>
        <v>High</v>
      </c>
      <c r="O123">
        <f>Table1[[#This Row],[TotalSales]]/Table1[[#This Row],[Quantity]]</f>
        <v>13878.720000000001</v>
      </c>
    </row>
    <row r="124" spans="1:15" x14ac:dyDescent="0.35">
      <c r="A124" t="s">
        <v>182</v>
      </c>
      <c r="B124" s="1">
        <v>45438</v>
      </c>
      <c r="C124" t="s">
        <v>20</v>
      </c>
      <c r="D124" t="s">
        <v>21</v>
      </c>
      <c r="E124" t="s">
        <v>28</v>
      </c>
      <c r="F124" t="s">
        <v>104</v>
      </c>
      <c r="G124" t="s">
        <v>30</v>
      </c>
      <c r="H124">
        <v>12</v>
      </c>
      <c r="I124">
        <v>50423.040000000001</v>
      </c>
      <c r="J124" s="2">
        <v>0.05</v>
      </c>
      <c r="K124" t="s">
        <v>31</v>
      </c>
      <c r="L124">
        <v>574822.66</v>
      </c>
      <c r="M124" t="str">
        <f>TEXT(Table1[[#This Row],[OrderDate]], "mmm")</f>
        <v>May</v>
      </c>
      <c r="N124" t="str">
        <f>IF(Table1[[#This Row],[TotalSales]]&gt;50000,"High",IF(L124&gt;20000,"Medium","Low"))</f>
        <v>High</v>
      </c>
      <c r="O124">
        <f>Table1[[#This Row],[TotalSales]]/Table1[[#This Row],[Quantity]]</f>
        <v>47901.888333333336</v>
      </c>
    </row>
    <row r="125" spans="1:15" x14ac:dyDescent="0.35">
      <c r="A125" t="s">
        <v>183</v>
      </c>
      <c r="B125" s="1">
        <v>45569</v>
      </c>
      <c r="C125" t="s">
        <v>46</v>
      </c>
      <c r="D125" t="s">
        <v>71</v>
      </c>
      <c r="E125" t="s">
        <v>28</v>
      </c>
      <c r="F125" t="s">
        <v>29</v>
      </c>
      <c r="G125" t="s">
        <v>83</v>
      </c>
      <c r="H125">
        <v>5</v>
      </c>
      <c r="I125">
        <v>49044.98</v>
      </c>
      <c r="J125" s="2">
        <v>0.2</v>
      </c>
      <c r="K125" t="s">
        <v>18</v>
      </c>
      <c r="L125">
        <v>196179.92</v>
      </c>
      <c r="M125" t="str">
        <f>TEXT(Table1[[#This Row],[OrderDate]], "mmm")</f>
        <v>Oct</v>
      </c>
      <c r="N125" t="str">
        <f>IF(Table1[[#This Row],[TotalSales]]&gt;50000,"High",IF(L125&gt;20000,"Medium","Low"))</f>
        <v>High</v>
      </c>
      <c r="O125">
        <f>Table1[[#This Row],[TotalSales]]/Table1[[#This Row],[Quantity]]</f>
        <v>39235.984000000004</v>
      </c>
    </row>
    <row r="126" spans="1:15" x14ac:dyDescent="0.35">
      <c r="A126" t="s">
        <v>184</v>
      </c>
      <c r="B126" s="1">
        <v>45544</v>
      </c>
      <c r="C126" t="s">
        <v>20</v>
      </c>
      <c r="D126" t="s">
        <v>27</v>
      </c>
      <c r="E126" t="s">
        <v>15</v>
      </c>
      <c r="F126" t="s">
        <v>59</v>
      </c>
      <c r="G126" t="s">
        <v>17</v>
      </c>
      <c r="H126">
        <v>1</v>
      </c>
      <c r="I126">
        <v>19977.13</v>
      </c>
      <c r="J126" s="2">
        <v>0.1</v>
      </c>
      <c r="K126" t="s">
        <v>31</v>
      </c>
      <c r="L126">
        <v>17979.419999999998</v>
      </c>
      <c r="M126" t="str">
        <f>TEXT(Table1[[#This Row],[OrderDate]], "mmm")</f>
        <v>Sep</v>
      </c>
      <c r="N126" t="str">
        <f>IF(Table1[[#This Row],[TotalSales]]&gt;50000,"High",IF(L126&gt;20000,"Medium","Low"))</f>
        <v>Low</v>
      </c>
      <c r="O126">
        <f>Table1[[#This Row],[TotalSales]]/Table1[[#This Row],[Quantity]]</f>
        <v>17979.419999999998</v>
      </c>
    </row>
    <row r="127" spans="1:15" x14ac:dyDescent="0.35">
      <c r="A127" t="s">
        <v>185</v>
      </c>
      <c r="B127" s="1">
        <v>45502</v>
      </c>
      <c r="C127" t="s">
        <v>40</v>
      </c>
      <c r="D127" t="s">
        <v>51</v>
      </c>
      <c r="E127" t="s">
        <v>28</v>
      </c>
      <c r="F127" t="s">
        <v>104</v>
      </c>
      <c r="G127" t="s">
        <v>83</v>
      </c>
      <c r="H127">
        <v>13</v>
      </c>
      <c r="I127">
        <v>22636.959999999999</v>
      </c>
      <c r="J127" s="2">
        <v>0.1</v>
      </c>
      <c r="K127" t="s">
        <v>18</v>
      </c>
      <c r="L127">
        <v>264852.43</v>
      </c>
      <c r="M127" t="str">
        <f>TEXT(Table1[[#This Row],[OrderDate]], "mmm")</f>
        <v>Jul</v>
      </c>
      <c r="N127" t="str">
        <f>IF(Table1[[#This Row],[TotalSales]]&gt;50000,"High",IF(L127&gt;20000,"Medium","Low"))</f>
        <v>High</v>
      </c>
      <c r="O127">
        <f>Table1[[#This Row],[TotalSales]]/Table1[[#This Row],[Quantity]]</f>
        <v>20373.263846153844</v>
      </c>
    </row>
    <row r="128" spans="1:15" x14ac:dyDescent="0.35">
      <c r="A128" t="s">
        <v>186</v>
      </c>
      <c r="B128" s="1">
        <v>45320</v>
      </c>
      <c r="C128" t="s">
        <v>40</v>
      </c>
      <c r="D128" t="s">
        <v>51</v>
      </c>
      <c r="E128" t="s">
        <v>22</v>
      </c>
      <c r="F128" t="s">
        <v>42</v>
      </c>
      <c r="G128" t="s">
        <v>49</v>
      </c>
      <c r="H128">
        <v>14</v>
      </c>
      <c r="I128">
        <v>7004.03</v>
      </c>
      <c r="J128" s="2">
        <v>0</v>
      </c>
      <c r="K128" t="s">
        <v>31</v>
      </c>
      <c r="L128">
        <v>98056.42</v>
      </c>
      <c r="M128" t="str">
        <f>TEXT(Table1[[#This Row],[OrderDate]], "mmm")</f>
        <v>Jan</v>
      </c>
      <c r="N128" t="str">
        <f>IF(Table1[[#This Row],[TotalSales]]&gt;50000,"High",IF(L128&gt;20000,"Medium","Low"))</f>
        <v>High</v>
      </c>
      <c r="O128">
        <f>Table1[[#This Row],[TotalSales]]/Table1[[#This Row],[Quantity]]</f>
        <v>7004.03</v>
      </c>
    </row>
    <row r="129" spans="1:15" x14ac:dyDescent="0.35">
      <c r="A129" t="s">
        <v>187</v>
      </c>
      <c r="B129" s="1">
        <v>45612</v>
      </c>
      <c r="C129" t="s">
        <v>13</v>
      </c>
      <c r="D129" t="s">
        <v>14</v>
      </c>
      <c r="E129" t="s">
        <v>28</v>
      </c>
      <c r="F129" t="s">
        <v>125</v>
      </c>
      <c r="G129" t="s">
        <v>83</v>
      </c>
      <c r="H129">
        <v>5</v>
      </c>
      <c r="I129">
        <v>33870.67</v>
      </c>
      <c r="J129" s="2">
        <v>0</v>
      </c>
      <c r="K129" t="s">
        <v>31</v>
      </c>
      <c r="L129">
        <v>169353.35</v>
      </c>
      <c r="M129" t="str">
        <f>TEXT(Table1[[#This Row],[OrderDate]], "mmm")</f>
        <v>Nov</v>
      </c>
      <c r="N129" t="str">
        <f>IF(Table1[[#This Row],[TotalSales]]&gt;50000,"High",IF(L129&gt;20000,"Medium","Low"))</f>
        <v>High</v>
      </c>
      <c r="O129">
        <f>Table1[[#This Row],[TotalSales]]/Table1[[#This Row],[Quantity]]</f>
        <v>33870.67</v>
      </c>
    </row>
    <row r="130" spans="1:15" x14ac:dyDescent="0.35">
      <c r="A130" t="s">
        <v>188</v>
      </c>
      <c r="B130" s="1">
        <v>45587</v>
      </c>
      <c r="C130" t="s">
        <v>46</v>
      </c>
      <c r="D130" t="s">
        <v>71</v>
      </c>
      <c r="E130" t="s">
        <v>15</v>
      </c>
      <c r="F130" t="s">
        <v>16</v>
      </c>
      <c r="G130" t="s">
        <v>49</v>
      </c>
      <c r="H130">
        <v>5</v>
      </c>
      <c r="I130">
        <v>35881.919999999998</v>
      </c>
      <c r="J130" s="2">
        <v>0.2</v>
      </c>
      <c r="K130" t="s">
        <v>44</v>
      </c>
      <c r="L130">
        <v>143527.67999999999</v>
      </c>
      <c r="M130" t="str">
        <f>TEXT(Table1[[#This Row],[OrderDate]], "mmm")</f>
        <v>Oct</v>
      </c>
      <c r="N130" t="str">
        <f>IF(Table1[[#This Row],[TotalSales]]&gt;50000,"High",IF(L130&gt;20000,"Medium","Low"))</f>
        <v>High</v>
      </c>
      <c r="O130">
        <f>Table1[[#This Row],[TotalSales]]/Table1[[#This Row],[Quantity]]</f>
        <v>28705.536</v>
      </c>
    </row>
    <row r="131" spans="1:15" x14ac:dyDescent="0.35">
      <c r="A131" t="s">
        <v>189</v>
      </c>
      <c r="B131" s="1">
        <v>45524</v>
      </c>
      <c r="C131" t="s">
        <v>40</v>
      </c>
      <c r="D131" t="s">
        <v>41</v>
      </c>
      <c r="E131" t="s">
        <v>34</v>
      </c>
      <c r="F131" t="s">
        <v>61</v>
      </c>
      <c r="G131" t="s">
        <v>83</v>
      </c>
      <c r="H131">
        <v>2</v>
      </c>
      <c r="I131">
        <v>37936.019999999997</v>
      </c>
      <c r="J131" s="2">
        <v>0</v>
      </c>
      <c r="K131" t="s">
        <v>44</v>
      </c>
      <c r="L131">
        <v>75872.039999999994</v>
      </c>
      <c r="M131" t="str">
        <f>TEXT(Table1[[#This Row],[OrderDate]], "mmm")</f>
        <v>Aug</v>
      </c>
      <c r="N131" t="str">
        <f>IF(Table1[[#This Row],[TotalSales]]&gt;50000,"High",IF(L131&gt;20000,"Medium","Low"))</f>
        <v>High</v>
      </c>
      <c r="O131">
        <f>Table1[[#This Row],[TotalSales]]/Table1[[#This Row],[Quantity]]</f>
        <v>37936.019999999997</v>
      </c>
    </row>
    <row r="132" spans="1:15" x14ac:dyDescent="0.35">
      <c r="A132" t="s">
        <v>190</v>
      </c>
      <c r="B132" s="1">
        <v>45555</v>
      </c>
      <c r="C132" t="s">
        <v>20</v>
      </c>
      <c r="D132" t="s">
        <v>97</v>
      </c>
      <c r="E132" t="s">
        <v>28</v>
      </c>
      <c r="F132" t="s">
        <v>104</v>
      </c>
      <c r="G132" t="s">
        <v>49</v>
      </c>
      <c r="H132">
        <v>9</v>
      </c>
      <c r="I132">
        <v>6018.88</v>
      </c>
      <c r="J132" s="2">
        <v>0</v>
      </c>
      <c r="K132" t="s">
        <v>25</v>
      </c>
      <c r="L132">
        <v>54169.919999999998</v>
      </c>
      <c r="M132" t="str">
        <f>TEXT(Table1[[#This Row],[OrderDate]], "mmm")</f>
        <v>Sep</v>
      </c>
      <c r="N132" t="str">
        <f>IF(Table1[[#This Row],[TotalSales]]&gt;50000,"High",IF(L132&gt;20000,"Medium","Low"))</f>
        <v>High</v>
      </c>
      <c r="O132">
        <f>Table1[[#This Row],[TotalSales]]/Table1[[#This Row],[Quantity]]</f>
        <v>6018.88</v>
      </c>
    </row>
    <row r="133" spans="1:15" x14ac:dyDescent="0.35">
      <c r="A133" t="s">
        <v>191</v>
      </c>
      <c r="B133" s="1">
        <v>45587</v>
      </c>
      <c r="C133" t="s">
        <v>20</v>
      </c>
      <c r="D133" t="s">
        <v>97</v>
      </c>
      <c r="E133" t="s">
        <v>34</v>
      </c>
      <c r="F133" t="s">
        <v>61</v>
      </c>
      <c r="G133" t="s">
        <v>30</v>
      </c>
      <c r="H133">
        <v>12</v>
      </c>
      <c r="I133">
        <v>17336.78</v>
      </c>
      <c r="J133" s="2">
        <v>0.2</v>
      </c>
      <c r="K133" t="s">
        <v>31</v>
      </c>
      <c r="L133">
        <v>166433.09</v>
      </c>
      <c r="M133" t="str">
        <f>TEXT(Table1[[#This Row],[OrderDate]], "mmm")</f>
        <v>Oct</v>
      </c>
      <c r="N133" t="str">
        <f>IF(Table1[[#This Row],[TotalSales]]&gt;50000,"High",IF(L133&gt;20000,"Medium","Low"))</f>
        <v>High</v>
      </c>
      <c r="O133">
        <f>Table1[[#This Row],[TotalSales]]/Table1[[#This Row],[Quantity]]</f>
        <v>13869.424166666666</v>
      </c>
    </row>
    <row r="134" spans="1:15" x14ac:dyDescent="0.35">
      <c r="A134" t="s">
        <v>192</v>
      </c>
      <c r="B134" s="1">
        <v>45402</v>
      </c>
      <c r="C134" t="s">
        <v>40</v>
      </c>
      <c r="D134" t="s">
        <v>55</v>
      </c>
      <c r="E134" t="s">
        <v>15</v>
      </c>
      <c r="F134" t="s">
        <v>38</v>
      </c>
      <c r="G134" t="s">
        <v>49</v>
      </c>
      <c r="H134">
        <v>10</v>
      </c>
      <c r="I134">
        <v>19538.650000000001</v>
      </c>
      <c r="J134" s="2">
        <v>0</v>
      </c>
      <c r="K134" t="s">
        <v>31</v>
      </c>
      <c r="L134">
        <v>195386.5</v>
      </c>
      <c r="M134" t="str">
        <f>TEXT(Table1[[#This Row],[OrderDate]], "mmm")</f>
        <v>Apr</v>
      </c>
      <c r="N134" t="str">
        <f>IF(Table1[[#This Row],[TotalSales]]&gt;50000,"High",IF(L134&gt;20000,"Medium","Low"))</f>
        <v>High</v>
      </c>
      <c r="O134">
        <f>Table1[[#This Row],[TotalSales]]/Table1[[#This Row],[Quantity]]</f>
        <v>19538.650000000001</v>
      </c>
    </row>
    <row r="135" spans="1:15" x14ac:dyDescent="0.35">
      <c r="A135" t="s">
        <v>193</v>
      </c>
      <c r="B135" s="1">
        <v>45479</v>
      </c>
      <c r="C135" t="s">
        <v>20</v>
      </c>
      <c r="D135" t="s">
        <v>97</v>
      </c>
      <c r="E135" t="s">
        <v>15</v>
      </c>
      <c r="F135" t="s">
        <v>38</v>
      </c>
      <c r="G135" t="s">
        <v>17</v>
      </c>
      <c r="H135">
        <v>13</v>
      </c>
      <c r="I135">
        <v>22298.32</v>
      </c>
      <c r="J135" s="2">
        <v>0</v>
      </c>
      <c r="K135" t="s">
        <v>25</v>
      </c>
      <c r="L135">
        <v>289878.15999999997</v>
      </c>
      <c r="M135" t="str">
        <f>TEXT(Table1[[#This Row],[OrderDate]], "mmm")</f>
        <v>Jul</v>
      </c>
      <c r="N135" t="str">
        <f>IF(Table1[[#This Row],[TotalSales]]&gt;50000,"High",IF(L135&gt;20000,"Medium","Low"))</f>
        <v>High</v>
      </c>
      <c r="O135">
        <f>Table1[[#This Row],[TotalSales]]/Table1[[#This Row],[Quantity]]</f>
        <v>22298.32</v>
      </c>
    </row>
    <row r="136" spans="1:15" x14ac:dyDescent="0.35">
      <c r="A136" t="s">
        <v>194</v>
      </c>
      <c r="B136" s="1">
        <v>45341</v>
      </c>
      <c r="C136" t="s">
        <v>46</v>
      </c>
      <c r="D136" t="s">
        <v>47</v>
      </c>
      <c r="E136" t="s">
        <v>34</v>
      </c>
      <c r="F136" t="s">
        <v>48</v>
      </c>
      <c r="G136" t="s">
        <v>66</v>
      </c>
      <c r="H136">
        <v>7</v>
      </c>
      <c r="I136">
        <v>20651.27</v>
      </c>
      <c r="J136" s="2">
        <v>0</v>
      </c>
      <c r="K136" t="s">
        <v>31</v>
      </c>
      <c r="L136">
        <v>144558.89000000001</v>
      </c>
      <c r="M136" t="str">
        <f>TEXT(Table1[[#This Row],[OrderDate]], "mmm")</f>
        <v>Feb</v>
      </c>
      <c r="N136" t="str">
        <f>IF(Table1[[#This Row],[TotalSales]]&gt;50000,"High",IF(L136&gt;20000,"Medium","Low"))</f>
        <v>High</v>
      </c>
      <c r="O136">
        <f>Table1[[#This Row],[TotalSales]]/Table1[[#This Row],[Quantity]]</f>
        <v>20651.27</v>
      </c>
    </row>
    <row r="137" spans="1:15" x14ac:dyDescent="0.35">
      <c r="A137" t="s">
        <v>195</v>
      </c>
      <c r="B137" s="1">
        <v>45462</v>
      </c>
      <c r="C137" t="s">
        <v>20</v>
      </c>
      <c r="D137" t="s">
        <v>21</v>
      </c>
      <c r="E137" t="s">
        <v>15</v>
      </c>
      <c r="F137" t="s">
        <v>16</v>
      </c>
      <c r="G137" t="s">
        <v>83</v>
      </c>
      <c r="H137">
        <v>13</v>
      </c>
      <c r="I137">
        <v>26161.18</v>
      </c>
      <c r="J137" s="2">
        <v>0.05</v>
      </c>
      <c r="K137" t="s">
        <v>18</v>
      </c>
      <c r="L137">
        <v>323090.57</v>
      </c>
      <c r="M137" t="str">
        <f>TEXT(Table1[[#This Row],[OrderDate]], "mmm")</f>
        <v>Jun</v>
      </c>
      <c r="N137" t="str">
        <f>IF(Table1[[#This Row],[TotalSales]]&gt;50000,"High",IF(L137&gt;20000,"Medium","Low"))</f>
        <v>High</v>
      </c>
      <c r="O137">
        <f>Table1[[#This Row],[TotalSales]]/Table1[[#This Row],[Quantity]]</f>
        <v>24853.120769230769</v>
      </c>
    </row>
    <row r="138" spans="1:15" x14ac:dyDescent="0.35">
      <c r="A138" t="s">
        <v>196</v>
      </c>
      <c r="B138" s="1">
        <v>45552</v>
      </c>
      <c r="C138" t="s">
        <v>13</v>
      </c>
      <c r="D138" t="s">
        <v>33</v>
      </c>
      <c r="E138" t="s">
        <v>34</v>
      </c>
      <c r="F138" t="s">
        <v>48</v>
      </c>
      <c r="G138" t="s">
        <v>66</v>
      </c>
      <c r="H138">
        <v>9</v>
      </c>
      <c r="I138">
        <v>27043.599999999999</v>
      </c>
      <c r="J138" s="2">
        <v>0.1</v>
      </c>
      <c r="K138" t="s">
        <v>44</v>
      </c>
      <c r="L138">
        <v>219053.16</v>
      </c>
      <c r="M138" t="str">
        <f>TEXT(Table1[[#This Row],[OrderDate]], "mmm")</f>
        <v>Sep</v>
      </c>
      <c r="N138" t="str">
        <f>IF(Table1[[#This Row],[TotalSales]]&gt;50000,"High",IF(L138&gt;20000,"Medium","Low"))</f>
        <v>High</v>
      </c>
      <c r="O138">
        <f>Table1[[#This Row],[TotalSales]]/Table1[[#This Row],[Quantity]]</f>
        <v>24339.24</v>
      </c>
    </row>
    <row r="139" spans="1:15" x14ac:dyDescent="0.35">
      <c r="A139" t="s">
        <v>197</v>
      </c>
      <c r="B139" s="1">
        <v>45588</v>
      </c>
      <c r="C139" t="s">
        <v>13</v>
      </c>
      <c r="D139" t="s">
        <v>33</v>
      </c>
      <c r="E139" t="s">
        <v>15</v>
      </c>
      <c r="F139" t="s">
        <v>38</v>
      </c>
      <c r="G139" t="s">
        <v>66</v>
      </c>
      <c r="H139">
        <v>10</v>
      </c>
      <c r="I139">
        <v>12669.37</v>
      </c>
      <c r="J139" s="2">
        <v>0</v>
      </c>
      <c r="K139" t="s">
        <v>18</v>
      </c>
      <c r="L139">
        <v>126693.7</v>
      </c>
      <c r="M139" t="str">
        <f>TEXT(Table1[[#This Row],[OrderDate]], "mmm")</f>
        <v>Oct</v>
      </c>
      <c r="N139" t="str">
        <f>IF(Table1[[#This Row],[TotalSales]]&gt;50000,"High",IF(L139&gt;20000,"Medium","Low"))</f>
        <v>High</v>
      </c>
      <c r="O139">
        <f>Table1[[#This Row],[TotalSales]]/Table1[[#This Row],[Quantity]]</f>
        <v>12669.369999999999</v>
      </c>
    </row>
    <row r="140" spans="1:15" x14ac:dyDescent="0.35">
      <c r="A140" t="s">
        <v>198</v>
      </c>
      <c r="B140" s="1">
        <v>45301</v>
      </c>
      <c r="C140" t="s">
        <v>46</v>
      </c>
      <c r="D140" t="s">
        <v>47</v>
      </c>
      <c r="E140" t="s">
        <v>22</v>
      </c>
      <c r="F140" t="s">
        <v>23</v>
      </c>
      <c r="G140" t="s">
        <v>30</v>
      </c>
      <c r="H140">
        <v>8</v>
      </c>
      <c r="I140">
        <v>17390.349999999999</v>
      </c>
      <c r="J140" s="2">
        <v>0</v>
      </c>
      <c r="K140" t="s">
        <v>31</v>
      </c>
      <c r="L140">
        <v>139122.79999999999</v>
      </c>
      <c r="M140" t="str">
        <f>TEXT(Table1[[#This Row],[OrderDate]], "mmm")</f>
        <v>Jan</v>
      </c>
      <c r="N140" t="str">
        <f>IF(Table1[[#This Row],[TotalSales]]&gt;50000,"High",IF(L140&gt;20000,"Medium","Low"))</f>
        <v>High</v>
      </c>
      <c r="O140">
        <f>Table1[[#This Row],[TotalSales]]/Table1[[#This Row],[Quantity]]</f>
        <v>17390.349999999999</v>
      </c>
    </row>
    <row r="141" spans="1:15" x14ac:dyDescent="0.35">
      <c r="A141" t="s">
        <v>199</v>
      </c>
      <c r="B141" s="1">
        <v>45536</v>
      </c>
      <c r="C141" t="s">
        <v>13</v>
      </c>
      <c r="D141" t="s">
        <v>33</v>
      </c>
      <c r="E141" t="s">
        <v>22</v>
      </c>
      <c r="F141" t="s">
        <v>42</v>
      </c>
      <c r="G141" t="s">
        <v>49</v>
      </c>
      <c r="H141">
        <v>9</v>
      </c>
      <c r="I141">
        <v>20850</v>
      </c>
      <c r="J141" s="2">
        <v>0</v>
      </c>
      <c r="K141" t="s">
        <v>25</v>
      </c>
      <c r="L141">
        <v>187650</v>
      </c>
      <c r="M141" t="str">
        <f>TEXT(Table1[[#This Row],[OrderDate]], "mmm")</f>
        <v>Sep</v>
      </c>
      <c r="N141" t="str">
        <f>IF(Table1[[#This Row],[TotalSales]]&gt;50000,"High",IF(L141&gt;20000,"Medium","Low"))</f>
        <v>High</v>
      </c>
      <c r="O141">
        <f>Table1[[#This Row],[TotalSales]]/Table1[[#This Row],[Quantity]]</f>
        <v>20850</v>
      </c>
    </row>
    <row r="142" spans="1:15" x14ac:dyDescent="0.35">
      <c r="A142" t="s">
        <v>200</v>
      </c>
      <c r="B142" s="1">
        <v>45444</v>
      </c>
      <c r="C142" t="s">
        <v>13</v>
      </c>
      <c r="D142" t="s">
        <v>33</v>
      </c>
      <c r="E142" t="s">
        <v>22</v>
      </c>
      <c r="F142" t="s">
        <v>42</v>
      </c>
      <c r="G142" t="s">
        <v>30</v>
      </c>
      <c r="H142">
        <v>4</v>
      </c>
      <c r="I142">
        <v>51793.41</v>
      </c>
      <c r="J142" s="2">
        <v>0</v>
      </c>
      <c r="K142" t="s">
        <v>44</v>
      </c>
      <c r="L142">
        <v>207173.64</v>
      </c>
      <c r="M142" t="str">
        <f>TEXT(Table1[[#This Row],[OrderDate]], "mmm")</f>
        <v>Jun</v>
      </c>
      <c r="N142" t="str">
        <f>IF(Table1[[#This Row],[TotalSales]]&gt;50000,"High",IF(L142&gt;20000,"Medium","Low"))</f>
        <v>High</v>
      </c>
      <c r="O142">
        <f>Table1[[#This Row],[TotalSales]]/Table1[[#This Row],[Quantity]]</f>
        <v>51793.41</v>
      </c>
    </row>
    <row r="143" spans="1:15" x14ac:dyDescent="0.35">
      <c r="A143" t="s">
        <v>201</v>
      </c>
      <c r="B143" s="1">
        <v>45638</v>
      </c>
      <c r="C143" t="s">
        <v>46</v>
      </c>
      <c r="D143" t="s">
        <v>71</v>
      </c>
      <c r="E143" t="s">
        <v>28</v>
      </c>
      <c r="F143" t="s">
        <v>29</v>
      </c>
      <c r="G143" t="s">
        <v>49</v>
      </c>
      <c r="H143">
        <v>9</v>
      </c>
      <c r="I143">
        <v>21007.24</v>
      </c>
      <c r="J143" s="2">
        <v>0.05</v>
      </c>
      <c r="K143" t="s">
        <v>31</v>
      </c>
      <c r="L143">
        <v>179611.9</v>
      </c>
      <c r="M143" t="str">
        <f>TEXT(Table1[[#This Row],[OrderDate]], "mmm")</f>
        <v>Dec</v>
      </c>
      <c r="N143" t="str">
        <f>IF(Table1[[#This Row],[TotalSales]]&gt;50000,"High",IF(L143&gt;20000,"Medium","Low"))</f>
        <v>High</v>
      </c>
      <c r="O143">
        <f>Table1[[#This Row],[TotalSales]]/Table1[[#This Row],[Quantity]]</f>
        <v>19956.877777777776</v>
      </c>
    </row>
    <row r="144" spans="1:15" x14ac:dyDescent="0.35">
      <c r="A144" t="s">
        <v>202</v>
      </c>
      <c r="B144" s="1">
        <v>45537</v>
      </c>
      <c r="C144" t="s">
        <v>13</v>
      </c>
      <c r="D144" t="s">
        <v>33</v>
      </c>
      <c r="E144" t="s">
        <v>28</v>
      </c>
      <c r="F144" t="s">
        <v>104</v>
      </c>
      <c r="G144" t="s">
        <v>69</v>
      </c>
      <c r="H144">
        <v>4</v>
      </c>
      <c r="I144">
        <v>11273.33</v>
      </c>
      <c r="J144" s="2">
        <v>0.1</v>
      </c>
      <c r="K144" t="s">
        <v>18</v>
      </c>
      <c r="L144">
        <v>40583.99</v>
      </c>
      <c r="M144" t="str">
        <f>TEXT(Table1[[#This Row],[OrderDate]], "mmm")</f>
        <v>Sep</v>
      </c>
      <c r="N144" t="str">
        <f>IF(Table1[[#This Row],[TotalSales]]&gt;50000,"High",IF(L144&gt;20000,"Medium","Low"))</f>
        <v>Medium</v>
      </c>
      <c r="O144">
        <f>Table1[[#This Row],[TotalSales]]/Table1[[#This Row],[Quantity]]</f>
        <v>10145.997499999999</v>
      </c>
    </row>
    <row r="145" spans="1:15" x14ac:dyDescent="0.35">
      <c r="A145" t="s">
        <v>203</v>
      </c>
      <c r="B145" s="1">
        <v>45343</v>
      </c>
      <c r="C145" t="s">
        <v>20</v>
      </c>
      <c r="D145" t="s">
        <v>27</v>
      </c>
      <c r="E145" t="s">
        <v>15</v>
      </c>
      <c r="F145" t="s">
        <v>59</v>
      </c>
      <c r="G145" t="s">
        <v>24</v>
      </c>
      <c r="H145">
        <v>7</v>
      </c>
      <c r="I145">
        <v>18300.09</v>
      </c>
      <c r="J145" s="2">
        <v>0.05</v>
      </c>
      <c r="K145" t="s">
        <v>25</v>
      </c>
      <c r="L145">
        <v>121695.6</v>
      </c>
      <c r="M145" t="str">
        <f>TEXT(Table1[[#This Row],[OrderDate]], "mmm")</f>
        <v>Feb</v>
      </c>
      <c r="N145" t="str">
        <f>IF(Table1[[#This Row],[TotalSales]]&gt;50000,"High",IF(L145&gt;20000,"Medium","Low"))</f>
        <v>High</v>
      </c>
      <c r="O145">
        <f>Table1[[#This Row],[TotalSales]]/Table1[[#This Row],[Quantity]]</f>
        <v>17385.085714285717</v>
      </c>
    </row>
    <row r="146" spans="1:15" x14ac:dyDescent="0.35">
      <c r="A146" t="s">
        <v>204</v>
      </c>
      <c r="B146" s="1">
        <v>45456</v>
      </c>
      <c r="C146" t="s">
        <v>20</v>
      </c>
      <c r="D146" t="s">
        <v>97</v>
      </c>
      <c r="E146" t="s">
        <v>34</v>
      </c>
      <c r="F146" t="s">
        <v>88</v>
      </c>
      <c r="G146" t="s">
        <v>43</v>
      </c>
      <c r="H146">
        <v>5</v>
      </c>
      <c r="I146">
        <v>35595.21</v>
      </c>
      <c r="J146" s="2">
        <v>0.2</v>
      </c>
      <c r="K146" t="s">
        <v>18</v>
      </c>
      <c r="L146">
        <v>142380.84</v>
      </c>
      <c r="M146" t="str">
        <f>TEXT(Table1[[#This Row],[OrderDate]], "mmm")</f>
        <v>Jun</v>
      </c>
      <c r="N146" t="str">
        <f>IF(Table1[[#This Row],[TotalSales]]&gt;50000,"High",IF(L146&gt;20000,"Medium","Low"))</f>
        <v>High</v>
      </c>
      <c r="O146">
        <f>Table1[[#This Row],[TotalSales]]/Table1[[#This Row],[Quantity]]</f>
        <v>28476.167999999998</v>
      </c>
    </row>
    <row r="147" spans="1:15" x14ac:dyDescent="0.35">
      <c r="A147" t="s">
        <v>205</v>
      </c>
      <c r="B147" s="1">
        <v>45545</v>
      </c>
      <c r="C147" t="s">
        <v>46</v>
      </c>
      <c r="D147" t="s">
        <v>79</v>
      </c>
      <c r="E147" t="s">
        <v>34</v>
      </c>
      <c r="F147" t="s">
        <v>61</v>
      </c>
      <c r="G147" t="s">
        <v>17</v>
      </c>
      <c r="H147">
        <v>3</v>
      </c>
      <c r="I147">
        <v>51526.16</v>
      </c>
      <c r="J147" s="2">
        <v>0.2</v>
      </c>
      <c r="K147" t="s">
        <v>44</v>
      </c>
      <c r="L147">
        <v>123662.78</v>
      </c>
      <c r="M147" t="str">
        <f>TEXT(Table1[[#This Row],[OrderDate]], "mmm")</f>
        <v>Sep</v>
      </c>
      <c r="N147" t="str">
        <f>IF(Table1[[#This Row],[TotalSales]]&gt;50000,"High",IF(L147&gt;20000,"Medium","Low"))</f>
        <v>High</v>
      </c>
      <c r="O147">
        <f>Table1[[#This Row],[TotalSales]]/Table1[[#This Row],[Quantity]]</f>
        <v>41220.926666666666</v>
      </c>
    </row>
    <row r="148" spans="1:15" x14ac:dyDescent="0.35">
      <c r="A148" t="s">
        <v>206</v>
      </c>
      <c r="B148" s="1">
        <v>45550</v>
      </c>
      <c r="C148" t="s">
        <v>40</v>
      </c>
      <c r="D148" t="s">
        <v>55</v>
      </c>
      <c r="E148" t="s">
        <v>28</v>
      </c>
      <c r="F148" t="s">
        <v>104</v>
      </c>
      <c r="G148" t="s">
        <v>24</v>
      </c>
      <c r="H148">
        <v>8</v>
      </c>
      <c r="I148">
        <v>15151.47</v>
      </c>
      <c r="J148" s="2">
        <v>0.2</v>
      </c>
      <c r="K148" t="s">
        <v>31</v>
      </c>
      <c r="L148">
        <v>96969.41</v>
      </c>
      <c r="M148" t="str">
        <f>TEXT(Table1[[#This Row],[OrderDate]], "mmm")</f>
        <v>Sep</v>
      </c>
      <c r="N148" t="str">
        <f>IF(Table1[[#This Row],[TotalSales]]&gt;50000,"High",IF(L148&gt;20000,"Medium","Low"))</f>
        <v>High</v>
      </c>
      <c r="O148">
        <f>Table1[[#This Row],[TotalSales]]/Table1[[#This Row],[Quantity]]</f>
        <v>12121.17625</v>
      </c>
    </row>
    <row r="149" spans="1:15" x14ac:dyDescent="0.35">
      <c r="A149" t="s">
        <v>207</v>
      </c>
      <c r="B149" s="1">
        <v>45604</v>
      </c>
      <c r="C149" t="s">
        <v>20</v>
      </c>
      <c r="D149" t="s">
        <v>27</v>
      </c>
      <c r="E149" t="s">
        <v>28</v>
      </c>
      <c r="F149" t="s">
        <v>29</v>
      </c>
      <c r="G149" t="s">
        <v>24</v>
      </c>
      <c r="H149">
        <v>14</v>
      </c>
      <c r="I149">
        <v>35202.17</v>
      </c>
      <c r="J149" s="2">
        <v>0.05</v>
      </c>
      <c r="K149" t="s">
        <v>18</v>
      </c>
      <c r="L149">
        <v>468188.86</v>
      </c>
      <c r="M149" t="str">
        <f>TEXT(Table1[[#This Row],[OrderDate]], "mmm")</f>
        <v>Nov</v>
      </c>
      <c r="N149" t="str">
        <f>IF(Table1[[#This Row],[TotalSales]]&gt;50000,"High",IF(L149&gt;20000,"Medium","Low"))</f>
        <v>High</v>
      </c>
      <c r="O149">
        <f>Table1[[#This Row],[TotalSales]]/Table1[[#This Row],[Quantity]]</f>
        <v>33442.061428571425</v>
      </c>
    </row>
    <row r="150" spans="1:15" x14ac:dyDescent="0.35">
      <c r="A150" t="s">
        <v>208</v>
      </c>
      <c r="B150" s="1">
        <v>45425</v>
      </c>
      <c r="C150" t="s">
        <v>20</v>
      </c>
      <c r="D150" t="s">
        <v>27</v>
      </c>
      <c r="E150" t="s">
        <v>34</v>
      </c>
      <c r="F150" t="s">
        <v>48</v>
      </c>
      <c r="G150" t="s">
        <v>49</v>
      </c>
      <c r="H150">
        <v>7</v>
      </c>
      <c r="I150">
        <v>13106.56</v>
      </c>
      <c r="J150" s="2">
        <v>0.2</v>
      </c>
      <c r="K150" t="s">
        <v>44</v>
      </c>
      <c r="L150">
        <v>73396.740000000005</v>
      </c>
      <c r="M150" t="str">
        <f>TEXT(Table1[[#This Row],[OrderDate]], "mmm")</f>
        <v>May</v>
      </c>
      <c r="N150" t="str">
        <f>IF(Table1[[#This Row],[TotalSales]]&gt;50000,"High",IF(L150&gt;20000,"Medium","Low"))</f>
        <v>High</v>
      </c>
      <c r="O150">
        <f>Table1[[#This Row],[TotalSales]]/Table1[[#This Row],[Quantity]]</f>
        <v>10485.248571428572</v>
      </c>
    </row>
    <row r="151" spans="1:15" x14ac:dyDescent="0.35">
      <c r="A151" t="s">
        <v>209</v>
      </c>
      <c r="B151" s="1">
        <v>45449</v>
      </c>
      <c r="C151" t="s">
        <v>46</v>
      </c>
      <c r="D151" t="s">
        <v>79</v>
      </c>
      <c r="E151" t="s">
        <v>22</v>
      </c>
      <c r="F151" t="s">
        <v>23</v>
      </c>
      <c r="G151" t="s">
        <v>49</v>
      </c>
      <c r="H151">
        <v>3</v>
      </c>
      <c r="I151">
        <v>22416.83</v>
      </c>
      <c r="J151" s="2">
        <v>0.1</v>
      </c>
      <c r="K151" t="s">
        <v>44</v>
      </c>
      <c r="L151">
        <v>60525.440000000002</v>
      </c>
      <c r="M151" t="str">
        <f>TEXT(Table1[[#This Row],[OrderDate]], "mmm")</f>
        <v>Jun</v>
      </c>
      <c r="N151" t="str">
        <f>IF(Table1[[#This Row],[TotalSales]]&gt;50000,"High",IF(L151&gt;20000,"Medium","Low"))</f>
        <v>High</v>
      </c>
      <c r="O151">
        <f>Table1[[#This Row],[TotalSales]]/Table1[[#This Row],[Quantity]]</f>
        <v>20175.146666666667</v>
      </c>
    </row>
    <row r="152" spans="1:15" x14ac:dyDescent="0.35">
      <c r="A152" t="s">
        <v>210</v>
      </c>
      <c r="B152" s="1">
        <v>45370</v>
      </c>
      <c r="C152" t="s">
        <v>20</v>
      </c>
      <c r="D152" t="s">
        <v>97</v>
      </c>
      <c r="E152" t="s">
        <v>22</v>
      </c>
      <c r="F152" t="s">
        <v>42</v>
      </c>
      <c r="G152" t="s">
        <v>69</v>
      </c>
      <c r="H152">
        <v>8</v>
      </c>
      <c r="I152">
        <v>41175.870000000003</v>
      </c>
      <c r="J152" s="2">
        <v>0.1</v>
      </c>
      <c r="K152" t="s">
        <v>18</v>
      </c>
      <c r="L152">
        <v>296466.26</v>
      </c>
      <c r="M152" t="str">
        <f>TEXT(Table1[[#This Row],[OrderDate]], "mmm")</f>
        <v>Mar</v>
      </c>
      <c r="N152" t="str">
        <f>IF(Table1[[#This Row],[TotalSales]]&gt;50000,"High",IF(L152&gt;20000,"Medium","Low"))</f>
        <v>High</v>
      </c>
      <c r="O152">
        <f>Table1[[#This Row],[TotalSales]]/Table1[[#This Row],[Quantity]]</f>
        <v>37058.282500000001</v>
      </c>
    </row>
    <row r="153" spans="1:15" x14ac:dyDescent="0.35">
      <c r="A153" t="s">
        <v>211</v>
      </c>
      <c r="B153" s="1">
        <v>45580</v>
      </c>
      <c r="C153" t="s">
        <v>13</v>
      </c>
      <c r="D153" t="s">
        <v>14</v>
      </c>
      <c r="E153" t="s">
        <v>15</v>
      </c>
      <c r="F153" t="s">
        <v>38</v>
      </c>
      <c r="G153" t="s">
        <v>30</v>
      </c>
      <c r="H153">
        <v>2</v>
      </c>
      <c r="I153">
        <v>3584.34</v>
      </c>
      <c r="J153" s="2">
        <v>0.1</v>
      </c>
      <c r="K153" t="s">
        <v>31</v>
      </c>
      <c r="L153">
        <v>6451.81</v>
      </c>
      <c r="M153" t="str">
        <f>TEXT(Table1[[#This Row],[OrderDate]], "mmm")</f>
        <v>Oct</v>
      </c>
      <c r="N153" t="str">
        <f>IF(Table1[[#This Row],[TotalSales]]&gt;50000,"High",IF(L153&gt;20000,"Medium","Low"))</f>
        <v>Low</v>
      </c>
      <c r="O153">
        <f>Table1[[#This Row],[TotalSales]]/Table1[[#This Row],[Quantity]]</f>
        <v>3225.9050000000002</v>
      </c>
    </row>
    <row r="154" spans="1:15" x14ac:dyDescent="0.35">
      <c r="A154" t="s">
        <v>212</v>
      </c>
      <c r="B154" s="1">
        <v>45520</v>
      </c>
      <c r="C154" t="s">
        <v>46</v>
      </c>
      <c r="D154" t="s">
        <v>71</v>
      </c>
      <c r="E154" t="s">
        <v>22</v>
      </c>
      <c r="F154" t="s">
        <v>82</v>
      </c>
      <c r="G154" t="s">
        <v>49</v>
      </c>
      <c r="H154">
        <v>13</v>
      </c>
      <c r="I154">
        <v>3248.84</v>
      </c>
      <c r="J154" s="2">
        <v>0</v>
      </c>
      <c r="K154" t="s">
        <v>31</v>
      </c>
      <c r="L154">
        <v>42234.92</v>
      </c>
      <c r="M154" t="str">
        <f>TEXT(Table1[[#This Row],[OrderDate]], "mmm")</f>
        <v>Aug</v>
      </c>
      <c r="N154" t="str">
        <f>IF(Table1[[#This Row],[TotalSales]]&gt;50000,"High",IF(L154&gt;20000,"Medium","Low"))</f>
        <v>Medium</v>
      </c>
      <c r="O154">
        <f>Table1[[#This Row],[TotalSales]]/Table1[[#This Row],[Quantity]]</f>
        <v>3248.8399999999997</v>
      </c>
    </row>
    <row r="155" spans="1:15" x14ac:dyDescent="0.35">
      <c r="A155" t="s">
        <v>213</v>
      </c>
      <c r="B155" s="1">
        <v>45403</v>
      </c>
      <c r="C155" t="s">
        <v>46</v>
      </c>
      <c r="D155" t="s">
        <v>71</v>
      </c>
      <c r="E155" t="s">
        <v>34</v>
      </c>
      <c r="F155" t="s">
        <v>48</v>
      </c>
      <c r="G155" t="s">
        <v>17</v>
      </c>
      <c r="H155">
        <v>10</v>
      </c>
      <c r="I155">
        <v>4202.0200000000004</v>
      </c>
      <c r="J155" s="2">
        <v>0.05</v>
      </c>
      <c r="K155" t="s">
        <v>25</v>
      </c>
      <c r="L155">
        <v>39919.19</v>
      </c>
      <c r="M155" t="str">
        <f>TEXT(Table1[[#This Row],[OrderDate]], "mmm")</f>
        <v>Apr</v>
      </c>
      <c r="N155" t="str">
        <f>IF(Table1[[#This Row],[TotalSales]]&gt;50000,"High",IF(L155&gt;20000,"Medium","Low"))</f>
        <v>Medium</v>
      </c>
      <c r="O155">
        <f>Table1[[#This Row],[TotalSales]]/Table1[[#This Row],[Quantity]]</f>
        <v>3991.9190000000003</v>
      </c>
    </row>
    <row r="156" spans="1:15" x14ac:dyDescent="0.35">
      <c r="A156" t="s">
        <v>214</v>
      </c>
      <c r="B156" s="1">
        <v>45361</v>
      </c>
      <c r="C156" t="s">
        <v>40</v>
      </c>
      <c r="D156" t="s">
        <v>55</v>
      </c>
      <c r="E156" t="s">
        <v>15</v>
      </c>
      <c r="F156" t="s">
        <v>56</v>
      </c>
      <c r="G156" t="s">
        <v>66</v>
      </c>
      <c r="H156">
        <v>13</v>
      </c>
      <c r="I156">
        <v>35355.57</v>
      </c>
      <c r="J156" s="2">
        <v>0.15</v>
      </c>
      <c r="K156" t="s">
        <v>25</v>
      </c>
      <c r="L156">
        <v>390679.05</v>
      </c>
      <c r="M156" t="str">
        <f>TEXT(Table1[[#This Row],[OrderDate]], "mmm")</f>
        <v>Mar</v>
      </c>
      <c r="N156" t="str">
        <f>IF(Table1[[#This Row],[TotalSales]]&gt;50000,"High",IF(L156&gt;20000,"Medium","Low"))</f>
        <v>High</v>
      </c>
      <c r="O156">
        <f>Table1[[#This Row],[TotalSales]]/Table1[[#This Row],[Quantity]]</f>
        <v>30052.234615384616</v>
      </c>
    </row>
    <row r="157" spans="1:15" x14ac:dyDescent="0.35">
      <c r="A157" t="s">
        <v>215</v>
      </c>
      <c r="B157" s="1">
        <v>45383</v>
      </c>
      <c r="C157" t="s">
        <v>13</v>
      </c>
      <c r="D157" t="s">
        <v>14</v>
      </c>
      <c r="E157" t="s">
        <v>15</v>
      </c>
      <c r="F157" t="s">
        <v>59</v>
      </c>
      <c r="G157" t="s">
        <v>49</v>
      </c>
      <c r="H157">
        <v>9</v>
      </c>
      <c r="I157">
        <v>21739.61</v>
      </c>
      <c r="J157" s="2">
        <v>0</v>
      </c>
      <c r="K157" t="s">
        <v>25</v>
      </c>
      <c r="L157">
        <f>(Table1[[#This Row],[Quantity]]*Table1[[#This Row],[UnitPrice]])-(Table1[[#This Row],[Quantity]]*Table1[[#This Row],[UnitPrice]])*Table1[[#This Row],[Discount%]]</f>
        <v>195656.49</v>
      </c>
      <c r="M157" t="str">
        <f>TEXT(Table1[[#This Row],[OrderDate]], "mmm")</f>
        <v>Apr</v>
      </c>
      <c r="N157" t="str">
        <f>IF(Table1[[#This Row],[TotalSales]]&gt;50000,"High",IF(L157&gt;20000,"Medium","Low"))</f>
        <v>High</v>
      </c>
      <c r="O157">
        <f>Table1[[#This Row],[TotalSales]]/Table1[[#This Row],[Quantity]]</f>
        <v>21739.61</v>
      </c>
    </row>
    <row r="158" spans="1:15" x14ac:dyDescent="0.35">
      <c r="A158" t="s">
        <v>216</v>
      </c>
      <c r="B158" s="1">
        <v>45527</v>
      </c>
      <c r="C158" t="s">
        <v>20</v>
      </c>
      <c r="D158" t="s">
        <v>27</v>
      </c>
      <c r="E158" t="s">
        <v>34</v>
      </c>
      <c r="F158" t="s">
        <v>88</v>
      </c>
      <c r="G158" t="s">
        <v>66</v>
      </c>
      <c r="H158">
        <v>6</v>
      </c>
      <c r="I158">
        <v>8700.65</v>
      </c>
      <c r="J158" s="2">
        <v>0</v>
      </c>
      <c r="K158" t="s">
        <v>31</v>
      </c>
      <c r="L158">
        <v>52203.9</v>
      </c>
      <c r="M158" t="str">
        <f>TEXT(Table1[[#This Row],[OrderDate]], "mmm")</f>
        <v>Aug</v>
      </c>
      <c r="N158" t="str">
        <f>IF(Table1[[#This Row],[TotalSales]]&gt;50000,"High",IF(L158&gt;20000,"Medium","Low"))</f>
        <v>High</v>
      </c>
      <c r="O158">
        <f>Table1[[#This Row],[TotalSales]]/Table1[[#This Row],[Quantity]]</f>
        <v>8700.65</v>
      </c>
    </row>
    <row r="159" spans="1:15" x14ac:dyDescent="0.35">
      <c r="A159" t="s">
        <v>217</v>
      </c>
      <c r="B159" s="1">
        <v>45596</v>
      </c>
      <c r="C159" t="s">
        <v>46</v>
      </c>
      <c r="D159" t="s">
        <v>47</v>
      </c>
      <c r="E159" t="s">
        <v>22</v>
      </c>
      <c r="F159" t="s">
        <v>42</v>
      </c>
      <c r="G159" t="s">
        <v>69</v>
      </c>
      <c r="H159">
        <v>1</v>
      </c>
      <c r="I159">
        <v>24664.97</v>
      </c>
      <c r="J159" s="2">
        <v>0.15</v>
      </c>
      <c r="K159" t="s">
        <v>18</v>
      </c>
      <c r="L159">
        <v>20965.22</v>
      </c>
      <c r="M159" t="str">
        <f>TEXT(Table1[[#This Row],[OrderDate]], "mmm")</f>
        <v>Oct</v>
      </c>
      <c r="N159" t="str">
        <f>IF(Table1[[#This Row],[TotalSales]]&gt;50000,"High",IF(L159&gt;20000,"Medium","Low"))</f>
        <v>Medium</v>
      </c>
      <c r="O159">
        <f>Table1[[#This Row],[TotalSales]]/Table1[[#This Row],[Quantity]]</f>
        <v>20965.22</v>
      </c>
    </row>
    <row r="160" spans="1:15" x14ac:dyDescent="0.35">
      <c r="A160" t="s">
        <v>218</v>
      </c>
      <c r="B160" s="1">
        <v>45586</v>
      </c>
      <c r="C160" t="s">
        <v>13</v>
      </c>
      <c r="D160" t="s">
        <v>14</v>
      </c>
      <c r="E160" t="s">
        <v>15</v>
      </c>
      <c r="F160" t="s">
        <v>59</v>
      </c>
      <c r="G160" t="s">
        <v>69</v>
      </c>
      <c r="H160">
        <v>6</v>
      </c>
      <c r="I160">
        <v>31845.62</v>
      </c>
      <c r="J160" s="2">
        <v>0.2</v>
      </c>
      <c r="K160" t="s">
        <v>25</v>
      </c>
      <c r="L160">
        <v>152858.98000000001</v>
      </c>
      <c r="M160" t="str">
        <f>TEXT(Table1[[#This Row],[OrderDate]], "mmm")</f>
        <v>Oct</v>
      </c>
      <c r="N160" t="str">
        <f>IF(Table1[[#This Row],[TotalSales]]&gt;50000,"High",IF(L160&gt;20000,"Medium","Low"))</f>
        <v>High</v>
      </c>
      <c r="O160">
        <f>Table1[[#This Row],[TotalSales]]/Table1[[#This Row],[Quantity]]</f>
        <v>25476.49666666667</v>
      </c>
    </row>
    <row r="161" spans="1:15" x14ac:dyDescent="0.35">
      <c r="A161" t="s">
        <v>219</v>
      </c>
      <c r="B161" s="1">
        <v>45594</v>
      </c>
      <c r="C161" t="s">
        <v>46</v>
      </c>
      <c r="D161" t="s">
        <v>71</v>
      </c>
      <c r="E161" t="s">
        <v>28</v>
      </c>
      <c r="F161" t="s">
        <v>29</v>
      </c>
      <c r="G161" t="s">
        <v>66</v>
      </c>
      <c r="H161">
        <v>15</v>
      </c>
      <c r="I161">
        <v>40489.620000000003</v>
      </c>
      <c r="J161" s="2">
        <v>0</v>
      </c>
      <c r="K161" t="s">
        <v>44</v>
      </c>
      <c r="L161">
        <v>607344.30000000005</v>
      </c>
      <c r="M161" t="str">
        <f>TEXT(Table1[[#This Row],[OrderDate]], "mmm")</f>
        <v>Oct</v>
      </c>
      <c r="N161" t="str">
        <f>IF(Table1[[#This Row],[TotalSales]]&gt;50000,"High",IF(L161&gt;20000,"Medium","Low"))</f>
        <v>High</v>
      </c>
      <c r="O161">
        <f>Table1[[#This Row],[TotalSales]]/Table1[[#This Row],[Quantity]]</f>
        <v>40489.620000000003</v>
      </c>
    </row>
    <row r="162" spans="1:15" x14ac:dyDescent="0.35">
      <c r="A162" t="s">
        <v>220</v>
      </c>
      <c r="B162" s="1">
        <v>45484</v>
      </c>
      <c r="C162" t="s">
        <v>20</v>
      </c>
      <c r="D162" t="s">
        <v>97</v>
      </c>
      <c r="E162" t="s">
        <v>34</v>
      </c>
      <c r="F162" t="s">
        <v>88</v>
      </c>
      <c r="G162" t="s">
        <v>30</v>
      </c>
      <c r="H162">
        <v>3</v>
      </c>
      <c r="I162">
        <v>41542</v>
      </c>
      <c r="J162" s="2">
        <v>0.05</v>
      </c>
      <c r="K162" t="s">
        <v>31</v>
      </c>
      <c r="L162">
        <v>118394.7</v>
      </c>
      <c r="M162" t="str">
        <f>TEXT(Table1[[#This Row],[OrderDate]], "mmm")</f>
        <v>Jul</v>
      </c>
      <c r="N162" t="str">
        <f>IF(Table1[[#This Row],[TotalSales]]&gt;50000,"High",IF(L162&gt;20000,"Medium","Low"))</f>
        <v>High</v>
      </c>
      <c r="O162">
        <f>Table1[[#This Row],[TotalSales]]/Table1[[#This Row],[Quantity]]</f>
        <v>39464.9</v>
      </c>
    </row>
    <row r="163" spans="1:15" x14ac:dyDescent="0.35">
      <c r="A163" t="s">
        <v>221</v>
      </c>
      <c r="B163" s="1">
        <v>45416</v>
      </c>
      <c r="C163" t="s">
        <v>20</v>
      </c>
      <c r="D163" t="s">
        <v>97</v>
      </c>
      <c r="E163" t="s">
        <v>34</v>
      </c>
      <c r="F163" t="s">
        <v>88</v>
      </c>
      <c r="G163" t="s">
        <v>69</v>
      </c>
      <c r="H163">
        <v>5</v>
      </c>
      <c r="I163">
        <v>11342.85</v>
      </c>
      <c r="J163" s="2">
        <v>0.15</v>
      </c>
      <c r="K163" t="s">
        <v>31</v>
      </c>
      <c r="L163">
        <v>48207.11</v>
      </c>
      <c r="M163" t="str">
        <f>TEXT(Table1[[#This Row],[OrderDate]], "mmm")</f>
        <v>May</v>
      </c>
      <c r="N163" t="str">
        <f>IF(Table1[[#This Row],[TotalSales]]&gt;50000,"High",IF(L163&gt;20000,"Medium","Low"))</f>
        <v>Medium</v>
      </c>
      <c r="O163">
        <f>Table1[[#This Row],[TotalSales]]/Table1[[#This Row],[Quantity]]</f>
        <v>9641.4220000000005</v>
      </c>
    </row>
    <row r="164" spans="1:15" x14ac:dyDescent="0.35">
      <c r="A164" t="s">
        <v>222</v>
      </c>
      <c r="B164" s="1">
        <v>45388</v>
      </c>
      <c r="C164" t="s">
        <v>46</v>
      </c>
      <c r="D164" t="s">
        <v>47</v>
      </c>
      <c r="E164" t="s">
        <v>28</v>
      </c>
      <c r="F164" t="s">
        <v>104</v>
      </c>
      <c r="G164" t="s">
        <v>49</v>
      </c>
      <c r="H164">
        <v>13</v>
      </c>
      <c r="I164">
        <v>41940.959999999999</v>
      </c>
      <c r="J164" s="2">
        <v>0.15</v>
      </c>
      <c r="K164" t="s">
        <v>31</v>
      </c>
      <c r="L164">
        <v>463447.61</v>
      </c>
      <c r="M164" t="str">
        <f>TEXT(Table1[[#This Row],[OrderDate]], "mmm")</f>
        <v>Apr</v>
      </c>
      <c r="N164" t="str">
        <f>IF(Table1[[#This Row],[TotalSales]]&gt;50000,"High",IF(L164&gt;20000,"Medium","Low"))</f>
        <v>High</v>
      </c>
      <c r="O164">
        <f>Table1[[#This Row],[TotalSales]]/Table1[[#This Row],[Quantity]]</f>
        <v>35649.81615384615</v>
      </c>
    </row>
    <row r="165" spans="1:15" x14ac:dyDescent="0.35">
      <c r="A165" t="s">
        <v>223</v>
      </c>
      <c r="B165" s="1">
        <v>45537</v>
      </c>
      <c r="C165" t="s">
        <v>46</v>
      </c>
      <c r="D165" t="s">
        <v>71</v>
      </c>
      <c r="E165" t="s">
        <v>22</v>
      </c>
      <c r="F165" t="s">
        <v>42</v>
      </c>
      <c r="G165" t="s">
        <v>49</v>
      </c>
      <c r="H165">
        <v>15</v>
      </c>
      <c r="I165">
        <v>13494.11</v>
      </c>
      <c r="J165" s="2">
        <v>0.1</v>
      </c>
      <c r="K165" t="s">
        <v>25</v>
      </c>
      <c r="L165">
        <v>182170.49</v>
      </c>
      <c r="M165" t="str">
        <f>TEXT(Table1[[#This Row],[OrderDate]], "mmm")</f>
        <v>Sep</v>
      </c>
      <c r="N165" t="str">
        <f>IF(Table1[[#This Row],[TotalSales]]&gt;50000,"High",IF(L165&gt;20000,"Medium","Low"))</f>
        <v>High</v>
      </c>
      <c r="O165">
        <f>Table1[[#This Row],[TotalSales]]/Table1[[#This Row],[Quantity]]</f>
        <v>12144.699333333332</v>
      </c>
    </row>
    <row r="166" spans="1:15" x14ac:dyDescent="0.35">
      <c r="A166" t="s">
        <v>224</v>
      </c>
      <c r="B166" s="1">
        <v>45476</v>
      </c>
      <c r="C166" t="s">
        <v>13</v>
      </c>
      <c r="D166" t="s">
        <v>37</v>
      </c>
      <c r="E166" t="s">
        <v>34</v>
      </c>
      <c r="F166" t="s">
        <v>48</v>
      </c>
      <c r="G166" t="s">
        <v>69</v>
      </c>
      <c r="H166">
        <v>9</v>
      </c>
      <c r="I166">
        <v>48578.09</v>
      </c>
      <c r="J166" s="2">
        <v>0.05</v>
      </c>
      <c r="K166" t="s">
        <v>44</v>
      </c>
      <c r="L166">
        <v>415342.67</v>
      </c>
      <c r="M166" t="str">
        <f>TEXT(Table1[[#This Row],[OrderDate]], "mmm")</f>
        <v>Jul</v>
      </c>
      <c r="N166" t="str">
        <f>IF(Table1[[#This Row],[TotalSales]]&gt;50000,"High",IF(L166&gt;20000,"Medium","Low"))</f>
        <v>High</v>
      </c>
      <c r="O166">
        <f>Table1[[#This Row],[TotalSales]]/Table1[[#This Row],[Quantity]]</f>
        <v>46149.185555555552</v>
      </c>
    </row>
    <row r="167" spans="1:15" x14ac:dyDescent="0.35">
      <c r="A167" t="s">
        <v>225</v>
      </c>
      <c r="B167" s="1">
        <v>45405</v>
      </c>
      <c r="C167" t="s">
        <v>46</v>
      </c>
      <c r="D167" t="s">
        <v>71</v>
      </c>
      <c r="E167" t="s">
        <v>28</v>
      </c>
      <c r="F167" t="s">
        <v>104</v>
      </c>
      <c r="G167" t="s">
        <v>69</v>
      </c>
      <c r="H167">
        <v>12</v>
      </c>
      <c r="I167">
        <v>8196.56</v>
      </c>
      <c r="J167" s="2">
        <v>0</v>
      </c>
      <c r="K167" t="s">
        <v>44</v>
      </c>
      <c r="L167">
        <v>98358.720000000001</v>
      </c>
      <c r="M167" t="str">
        <f>TEXT(Table1[[#This Row],[OrderDate]], "mmm")</f>
        <v>Apr</v>
      </c>
      <c r="N167" t="str">
        <f>IF(Table1[[#This Row],[TotalSales]]&gt;50000,"High",IF(L167&gt;20000,"Medium","Low"))</f>
        <v>High</v>
      </c>
      <c r="O167">
        <f>Table1[[#This Row],[TotalSales]]/Table1[[#This Row],[Quantity]]</f>
        <v>8196.56</v>
      </c>
    </row>
    <row r="168" spans="1:15" x14ac:dyDescent="0.35">
      <c r="A168" t="s">
        <v>226</v>
      </c>
      <c r="B168" s="1">
        <v>45573</v>
      </c>
      <c r="C168" t="s">
        <v>20</v>
      </c>
      <c r="D168" t="s">
        <v>97</v>
      </c>
      <c r="E168" t="s">
        <v>22</v>
      </c>
      <c r="F168" t="s">
        <v>82</v>
      </c>
      <c r="G168" t="s">
        <v>30</v>
      </c>
      <c r="H168">
        <v>11</v>
      </c>
      <c r="I168">
        <v>51901.86</v>
      </c>
      <c r="J168" s="2">
        <v>0</v>
      </c>
      <c r="K168" t="s">
        <v>25</v>
      </c>
      <c r="L168">
        <v>570920.46</v>
      </c>
      <c r="M168" t="str">
        <f>TEXT(Table1[[#This Row],[OrderDate]], "mmm")</f>
        <v>Oct</v>
      </c>
      <c r="N168" t="str">
        <f>IF(Table1[[#This Row],[TotalSales]]&gt;50000,"High",IF(L168&gt;20000,"Medium","Low"))</f>
        <v>High</v>
      </c>
      <c r="O168">
        <f>Table1[[#This Row],[TotalSales]]/Table1[[#This Row],[Quantity]]</f>
        <v>51901.859999999993</v>
      </c>
    </row>
    <row r="169" spans="1:15" x14ac:dyDescent="0.35">
      <c r="A169" t="s">
        <v>227</v>
      </c>
      <c r="B169" s="1">
        <v>45571</v>
      </c>
      <c r="C169" t="s">
        <v>20</v>
      </c>
      <c r="D169" t="s">
        <v>27</v>
      </c>
      <c r="E169" t="s">
        <v>22</v>
      </c>
      <c r="F169" t="s">
        <v>52</v>
      </c>
      <c r="G169" t="s">
        <v>17</v>
      </c>
      <c r="H169">
        <v>8</v>
      </c>
      <c r="I169">
        <v>10285.82</v>
      </c>
      <c r="J169" s="2">
        <v>0.1</v>
      </c>
      <c r="K169" t="s">
        <v>31</v>
      </c>
      <c r="L169">
        <v>74057.899999999994</v>
      </c>
      <c r="M169" t="str">
        <f>TEXT(Table1[[#This Row],[OrderDate]], "mmm")</f>
        <v>Oct</v>
      </c>
      <c r="N169" t="str">
        <f>IF(Table1[[#This Row],[TotalSales]]&gt;50000,"High",IF(L169&gt;20000,"Medium","Low"))</f>
        <v>High</v>
      </c>
      <c r="O169">
        <f>Table1[[#This Row],[TotalSales]]/Table1[[#This Row],[Quantity]]</f>
        <v>9257.2374999999993</v>
      </c>
    </row>
    <row r="170" spans="1:15" x14ac:dyDescent="0.35">
      <c r="A170" t="s">
        <v>228</v>
      </c>
      <c r="B170" s="1">
        <v>45410</v>
      </c>
      <c r="C170" t="s">
        <v>20</v>
      </c>
      <c r="D170" t="s">
        <v>21</v>
      </c>
      <c r="E170" t="s">
        <v>15</v>
      </c>
      <c r="F170" t="s">
        <v>38</v>
      </c>
      <c r="G170" t="s">
        <v>30</v>
      </c>
      <c r="H170">
        <v>2</v>
      </c>
      <c r="I170">
        <v>38952.89</v>
      </c>
      <c r="J170" s="2">
        <v>0</v>
      </c>
      <c r="K170" t="s">
        <v>25</v>
      </c>
      <c r="L170">
        <v>77905.78</v>
      </c>
      <c r="M170" t="str">
        <f>TEXT(Table1[[#This Row],[OrderDate]], "mmm")</f>
        <v>Apr</v>
      </c>
      <c r="N170" t="str">
        <f>IF(Table1[[#This Row],[TotalSales]]&gt;50000,"High",IF(L170&gt;20000,"Medium","Low"))</f>
        <v>High</v>
      </c>
      <c r="O170">
        <f>Table1[[#This Row],[TotalSales]]/Table1[[#This Row],[Quantity]]</f>
        <v>38952.89</v>
      </c>
    </row>
    <row r="171" spans="1:15" x14ac:dyDescent="0.35">
      <c r="A171" t="s">
        <v>229</v>
      </c>
      <c r="B171" s="1">
        <v>45300</v>
      </c>
      <c r="C171" t="s">
        <v>40</v>
      </c>
      <c r="D171" t="s">
        <v>55</v>
      </c>
      <c r="E171" t="s">
        <v>15</v>
      </c>
      <c r="F171" t="s">
        <v>16</v>
      </c>
      <c r="G171" t="s">
        <v>24</v>
      </c>
      <c r="H171">
        <v>9</v>
      </c>
      <c r="I171">
        <v>39776.160000000003</v>
      </c>
      <c r="J171" s="2">
        <v>0.1</v>
      </c>
      <c r="K171" t="s">
        <v>31</v>
      </c>
      <c r="L171">
        <v>322186.90000000002</v>
      </c>
      <c r="M171" t="str">
        <f>TEXT(Table1[[#This Row],[OrderDate]], "mmm")</f>
        <v>Jan</v>
      </c>
      <c r="N171" t="str">
        <f>IF(Table1[[#This Row],[TotalSales]]&gt;50000,"High",IF(L171&gt;20000,"Medium","Low"))</f>
        <v>High</v>
      </c>
      <c r="O171">
        <f>Table1[[#This Row],[TotalSales]]/Table1[[#This Row],[Quantity]]</f>
        <v>35798.544444444444</v>
      </c>
    </row>
    <row r="172" spans="1:15" x14ac:dyDescent="0.35">
      <c r="A172" t="s">
        <v>230</v>
      </c>
      <c r="B172" s="1">
        <v>45609</v>
      </c>
      <c r="C172" t="s">
        <v>20</v>
      </c>
      <c r="D172" t="s">
        <v>27</v>
      </c>
      <c r="E172" t="s">
        <v>15</v>
      </c>
      <c r="F172" t="s">
        <v>59</v>
      </c>
      <c r="G172" t="s">
        <v>69</v>
      </c>
      <c r="H172">
        <v>9</v>
      </c>
      <c r="I172">
        <v>14032.52</v>
      </c>
      <c r="J172" s="2">
        <v>0</v>
      </c>
      <c r="K172" t="s">
        <v>18</v>
      </c>
      <c r="L172">
        <v>126292.68</v>
      </c>
      <c r="M172" t="str">
        <f>TEXT(Table1[[#This Row],[OrderDate]], "mmm")</f>
        <v>Nov</v>
      </c>
      <c r="N172" t="str">
        <f>IF(Table1[[#This Row],[TotalSales]]&gt;50000,"High",IF(L172&gt;20000,"Medium","Low"))</f>
        <v>High</v>
      </c>
      <c r="O172">
        <f>Table1[[#This Row],[TotalSales]]/Table1[[#This Row],[Quantity]]</f>
        <v>14032.519999999999</v>
      </c>
    </row>
    <row r="173" spans="1:15" x14ac:dyDescent="0.35">
      <c r="A173" t="s">
        <v>231</v>
      </c>
      <c r="B173" s="1">
        <v>45499</v>
      </c>
      <c r="C173" t="s">
        <v>46</v>
      </c>
      <c r="D173" t="s">
        <v>47</v>
      </c>
      <c r="E173" t="s">
        <v>28</v>
      </c>
      <c r="F173" t="s">
        <v>76</v>
      </c>
      <c r="G173" t="s">
        <v>66</v>
      </c>
      <c r="H173">
        <v>7</v>
      </c>
      <c r="I173">
        <v>20868.89</v>
      </c>
      <c r="J173" s="2">
        <v>0.05</v>
      </c>
      <c r="K173" t="s">
        <v>44</v>
      </c>
      <c r="L173">
        <v>138778.12</v>
      </c>
      <c r="M173" t="str">
        <f>TEXT(Table1[[#This Row],[OrderDate]], "mmm")</f>
        <v>Jul</v>
      </c>
      <c r="N173" t="str">
        <f>IF(Table1[[#This Row],[TotalSales]]&gt;50000,"High",IF(L173&gt;20000,"Medium","Low"))</f>
        <v>High</v>
      </c>
      <c r="O173">
        <f>Table1[[#This Row],[TotalSales]]/Table1[[#This Row],[Quantity]]</f>
        <v>19825.445714285714</v>
      </c>
    </row>
    <row r="174" spans="1:15" x14ac:dyDescent="0.35">
      <c r="A174" t="s">
        <v>232</v>
      </c>
      <c r="B174" s="1">
        <v>45646</v>
      </c>
      <c r="C174" t="s">
        <v>20</v>
      </c>
      <c r="D174" t="s">
        <v>27</v>
      </c>
      <c r="E174" t="s">
        <v>15</v>
      </c>
      <c r="F174" t="s">
        <v>16</v>
      </c>
      <c r="G174" t="s">
        <v>43</v>
      </c>
      <c r="H174">
        <v>15</v>
      </c>
      <c r="I174">
        <v>31259.77</v>
      </c>
      <c r="J174" s="2">
        <v>0</v>
      </c>
      <c r="K174" t="s">
        <v>18</v>
      </c>
      <c r="L174">
        <v>468896.55</v>
      </c>
      <c r="M174" t="str">
        <f>TEXT(Table1[[#This Row],[OrderDate]], "mmm")</f>
        <v>Dec</v>
      </c>
      <c r="N174" t="str">
        <f>IF(Table1[[#This Row],[TotalSales]]&gt;50000,"High",IF(L174&gt;20000,"Medium","Low"))</f>
        <v>High</v>
      </c>
      <c r="O174">
        <f>Table1[[#This Row],[TotalSales]]/Table1[[#This Row],[Quantity]]</f>
        <v>31259.77</v>
      </c>
    </row>
    <row r="175" spans="1:15" x14ac:dyDescent="0.35">
      <c r="A175" t="s">
        <v>233</v>
      </c>
      <c r="B175" s="1">
        <v>45365</v>
      </c>
      <c r="C175" t="s">
        <v>20</v>
      </c>
      <c r="D175" t="s">
        <v>21</v>
      </c>
      <c r="E175" t="s">
        <v>28</v>
      </c>
      <c r="F175" t="s">
        <v>76</v>
      </c>
      <c r="G175" t="s">
        <v>66</v>
      </c>
      <c r="H175">
        <v>13</v>
      </c>
      <c r="I175">
        <v>45173.85</v>
      </c>
      <c r="J175" s="2">
        <v>0.2</v>
      </c>
      <c r="K175" t="s">
        <v>44</v>
      </c>
      <c r="L175">
        <v>469808.04</v>
      </c>
      <c r="M175" t="str">
        <f>TEXT(Table1[[#This Row],[OrderDate]], "mmm")</f>
        <v>Mar</v>
      </c>
      <c r="N175" t="str">
        <f>IF(Table1[[#This Row],[TotalSales]]&gt;50000,"High",IF(L175&gt;20000,"Medium","Low"))</f>
        <v>High</v>
      </c>
      <c r="O175">
        <f>Table1[[#This Row],[TotalSales]]/Table1[[#This Row],[Quantity]]</f>
        <v>36139.08</v>
      </c>
    </row>
    <row r="176" spans="1:15" x14ac:dyDescent="0.35">
      <c r="A176" t="s">
        <v>234</v>
      </c>
      <c r="B176" s="1">
        <v>45469</v>
      </c>
      <c r="C176" t="s">
        <v>46</v>
      </c>
      <c r="D176" t="s">
        <v>71</v>
      </c>
      <c r="E176" t="s">
        <v>34</v>
      </c>
      <c r="F176" t="s">
        <v>61</v>
      </c>
      <c r="G176" t="s">
        <v>66</v>
      </c>
      <c r="H176">
        <v>1</v>
      </c>
      <c r="I176">
        <v>5553.18</v>
      </c>
      <c r="J176" s="2">
        <v>0</v>
      </c>
      <c r="K176" t="s">
        <v>44</v>
      </c>
      <c r="L176">
        <v>5553.18</v>
      </c>
      <c r="M176" t="str">
        <f>TEXT(Table1[[#This Row],[OrderDate]], "mmm")</f>
        <v>Jun</v>
      </c>
      <c r="N176" t="str">
        <f>IF(Table1[[#This Row],[TotalSales]]&gt;50000,"High",IF(L176&gt;20000,"Medium","Low"))</f>
        <v>Low</v>
      </c>
      <c r="O176">
        <f>Table1[[#This Row],[TotalSales]]/Table1[[#This Row],[Quantity]]</f>
        <v>5553.18</v>
      </c>
    </row>
    <row r="177" spans="1:15" x14ac:dyDescent="0.35">
      <c r="A177" t="s">
        <v>235</v>
      </c>
      <c r="B177" s="1">
        <v>45408</v>
      </c>
      <c r="C177" t="s">
        <v>40</v>
      </c>
      <c r="D177" t="s">
        <v>41</v>
      </c>
      <c r="E177" t="s">
        <v>15</v>
      </c>
      <c r="F177" t="s">
        <v>56</v>
      </c>
      <c r="G177" t="s">
        <v>49</v>
      </c>
      <c r="H177">
        <v>6</v>
      </c>
      <c r="I177">
        <v>30506.47</v>
      </c>
      <c r="J177" s="2">
        <v>0.05</v>
      </c>
      <c r="K177" t="s">
        <v>18</v>
      </c>
      <c r="L177">
        <v>173886.88</v>
      </c>
      <c r="M177" t="str">
        <f>TEXT(Table1[[#This Row],[OrderDate]], "mmm")</f>
        <v>Apr</v>
      </c>
      <c r="N177" t="str">
        <f>IF(Table1[[#This Row],[TotalSales]]&gt;50000,"High",IF(L177&gt;20000,"Medium","Low"))</f>
        <v>High</v>
      </c>
      <c r="O177">
        <f>Table1[[#This Row],[TotalSales]]/Table1[[#This Row],[Quantity]]</f>
        <v>28981.146666666667</v>
      </c>
    </row>
    <row r="178" spans="1:15" x14ac:dyDescent="0.35">
      <c r="A178" t="s">
        <v>236</v>
      </c>
      <c r="B178" s="1">
        <v>45486</v>
      </c>
      <c r="C178" t="s">
        <v>13</v>
      </c>
      <c r="D178" t="s">
        <v>14</v>
      </c>
      <c r="E178" t="s">
        <v>15</v>
      </c>
      <c r="F178" t="s">
        <v>16</v>
      </c>
      <c r="G178" t="s">
        <v>49</v>
      </c>
      <c r="H178">
        <v>12</v>
      </c>
      <c r="I178">
        <v>43157.19</v>
      </c>
      <c r="J178" s="2">
        <v>0</v>
      </c>
      <c r="K178" t="s">
        <v>25</v>
      </c>
      <c r="L178">
        <f>(Table1[[#This Row],[Quantity]]*Table1[[#This Row],[UnitPrice]])-(Table1[[#This Row],[Quantity]]*Table1[[#This Row],[UnitPrice]])*Table1[[#This Row],[Discount%]]</f>
        <v>517886.28</v>
      </c>
      <c r="M178" t="str">
        <f>TEXT(Table1[[#This Row],[OrderDate]], "mmm")</f>
        <v>Jul</v>
      </c>
      <c r="N178" t="str">
        <f>IF(Table1[[#This Row],[TotalSales]]&gt;50000,"High",IF(L178&gt;20000,"Medium","Low"))</f>
        <v>High</v>
      </c>
      <c r="O178">
        <f>Table1[[#This Row],[TotalSales]]/Table1[[#This Row],[Quantity]]</f>
        <v>43157.19</v>
      </c>
    </row>
    <row r="179" spans="1:15" x14ac:dyDescent="0.35">
      <c r="A179" t="s">
        <v>237</v>
      </c>
      <c r="B179" s="1">
        <v>45336</v>
      </c>
      <c r="C179" t="s">
        <v>46</v>
      </c>
      <c r="D179" t="s">
        <v>47</v>
      </c>
      <c r="E179" t="s">
        <v>28</v>
      </c>
      <c r="F179" t="s">
        <v>29</v>
      </c>
      <c r="G179" t="s">
        <v>17</v>
      </c>
      <c r="H179">
        <v>3</v>
      </c>
      <c r="I179">
        <v>23817.68</v>
      </c>
      <c r="J179" s="2">
        <v>0.1</v>
      </c>
      <c r="K179" t="s">
        <v>44</v>
      </c>
      <c r="L179">
        <v>64307.74</v>
      </c>
      <c r="M179" t="str">
        <f>TEXT(Table1[[#This Row],[OrderDate]], "mmm")</f>
        <v>Feb</v>
      </c>
      <c r="N179" t="str">
        <f>IF(Table1[[#This Row],[TotalSales]]&gt;50000,"High",IF(L179&gt;20000,"Medium","Low"))</f>
        <v>High</v>
      </c>
      <c r="O179">
        <f>Table1[[#This Row],[TotalSales]]/Table1[[#This Row],[Quantity]]</f>
        <v>21435.913333333334</v>
      </c>
    </row>
    <row r="180" spans="1:15" x14ac:dyDescent="0.35">
      <c r="A180" t="s">
        <v>238</v>
      </c>
      <c r="B180" s="1">
        <v>45490</v>
      </c>
      <c r="C180" t="s">
        <v>13</v>
      </c>
      <c r="D180" t="s">
        <v>37</v>
      </c>
      <c r="E180" t="s">
        <v>34</v>
      </c>
      <c r="F180" t="s">
        <v>35</v>
      </c>
      <c r="G180" t="s">
        <v>66</v>
      </c>
      <c r="H180">
        <v>13</v>
      </c>
      <c r="I180">
        <v>4841.53</v>
      </c>
      <c r="J180" s="2">
        <v>0.1</v>
      </c>
      <c r="K180" t="s">
        <v>18</v>
      </c>
      <c r="L180">
        <v>56645.9</v>
      </c>
      <c r="M180" t="str">
        <f>TEXT(Table1[[#This Row],[OrderDate]], "mmm")</f>
        <v>Jul</v>
      </c>
      <c r="N180" t="str">
        <f>IF(Table1[[#This Row],[TotalSales]]&gt;50000,"High",IF(L180&gt;20000,"Medium","Low"))</f>
        <v>High</v>
      </c>
      <c r="O180">
        <f>Table1[[#This Row],[TotalSales]]/Table1[[#This Row],[Quantity]]</f>
        <v>4357.376923076923</v>
      </c>
    </row>
    <row r="181" spans="1:15" x14ac:dyDescent="0.35">
      <c r="A181" t="s">
        <v>239</v>
      </c>
      <c r="B181" s="1">
        <v>45544</v>
      </c>
      <c r="C181" t="s">
        <v>13</v>
      </c>
      <c r="D181" t="s">
        <v>37</v>
      </c>
      <c r="E181" t="s">
        <v>22</v>
      </c>
      <c r="F181" t="s">
        <v>52</v>
      </c>
      <c r="G181" t="s">
        <v>69</v>
      </c>
      <c r="H181">
        <v>3</v>
      </c>
      <c r="I181">
        <v>3667.04</v>
      </c>
      <c r="J181" s="2">
        <v>0.05</v>
      </c>
      <c r="K181" t="s">
        <v>25</v>
      </c>
      <c r="L181">
        <v>10451.06</v>
      </c>
      <c r="M181" t="str">
        <f>TEXT(Table1[[#This Row],[OrderDate]], "mmm")</f>
        <v>Sep</v>
      </c>
      <c r="N181" t="str">
        <f>IF(Table1[[#This Row],[TotalSales]]&gt;50000,"High",IF(L181&gt;20000,"Medium","Low"))</f>
        <v>Low</v>
      </c>
      <c r="O181">
        <f>Table1[[#This Row],[TotalSales]]/Table1[[#This Row],[Quantity]]</f>
        <v>3483.6866666666665</v>
      </c>
    </row>
    <row r="182" spans="1:15" x14ac:dyDescent="0.35">
      <c r="A182" t="s">
        <v>240</v>
      </c>
      <c r="B182" s="1">
        <v>45447</v>
      </c>
      <c r="C182" t="s">
        <v>46</v>
      </c>
      <c r="D182" t="s">
        <v>47</v>
      </c>
      <c r="E182" t="s">
        <v>22</v>
      </c>
      <c r="F182" t="s">
        <v>82</v>
      </c>
      <c r="G182" t="s">
        <v>66</v>
      </c>
      <c r="H182">
        <v>1</v>
      </c>
      <c r="I182">
        <v>52195.53</v>
      </c>
      <c r="J182" s="2">
        <v>0</v>
      </c>
      <c r="K182" t="s">
        <v>18</v>
      </c>
      <c r="L182">
        <v>52195.53</v>
      </c>
      <c r="M182" t="str">
        <f>TEXT(Table1[[#This Row],[OrderDate]], "mmm")</f>
        <v>Jun</v>
      </c>
      <c r="N182" t="str">
        <f>IF(Table1[[#This Row],[TotalSales]]&gt;50000,"High",IF(L182&gt;20000,"Medium","Low"))</f>
        <v>High</v>
      </c>
      <c r="O182">
        <f>Table1[[#This Row],[TotalSales]]/Table1[[#This Row],[Quantity]]</f>
        <v>52195.53</v>
      </c>
    </row>
    <row r="183" spans="1:15" x14ac:dyDescent="0.35">
      <c r="A183" t="s">
        <v>241</v>
      </c>
      <c r="B183" s="1">
        <v>45452</v>
      </c>
      <c r="C183" t="s">
        <v>20</v>
      </c>
      <c r="D183" t="s">
        <v>97</v>
      </c>
      <c r="E183" t="s">
        <v>28</v>
      </c>
      <c r="F183" t="s">
        <v>29</v>
      </c>
      <c r="G183" t="s">
        <v>69</v>
      </c>
      <c r="H183">
        <v>3</v>
      </c>
      <c r="I183">
        <v>53058.69</v>
      </c>
      <c r="J183" s="2">
        <v>0</v>
      </c>
      <c r="K183" t="s">
        <v>44</v>
      </c>
      <c r="L183">
        <v>159176.07</v>
      </c>
      <c r="M183" t="str">
        <f>TEXT(Table1[[#This Row],[OrderDate]], "mmm")</f>
        <v>Jun</v>
      </c>
      <c r="N183" t="str">
        <f>IF(Table1[[#This Row],[TotalSales]]&gt;50000,"High",IF(L183&gt;20000,"Medium","Low"))</f>
        <v>High</v>
      </c>
      <c r="O183">
        <f>Table1[[#This Row],[TotalSales]]/Table1[[#This Row],[Quantity]]</f>
        <v>53058.69</v>
      </c>
    </row>
    <row r="184" spans="1:15" x14ac:dyDescent="0.35">
      <c r="A184" t="s">
        <v>242</v>
      </c>
      <c r="B184" s="1">
        <v>45350</v>
      </c>
      <c r="C184" t="s">
        <v>40</v>
      </c>
      <c r="D184" t="s">
        <v>41</v>
      </c>
      <c r="E184" t="s">
        <v>34</v>
      </c>
      <c r="F184" t="s">
        <v>48</v>
      </c>
      <c r="G184" t="s">
        <v>30</v>
      </c>
      <c r="H184">
        <v>15</v>
      </c>
      <c r="I184">
        <v>31099.01</v>
      </c>
      <c r="J184" s="2">
        <v>0.1</v>
      </c>
      <c r="K184" t="s">
        <v>18</v>
      </c>
      <c r="L184">
        <f>(Table1[[#This Row],[Quantity]]*Table1[[#This Row],[UnitPrice]])-(Table1[[#This Row],[Quantity]]*Table1[[#This Row],[UnitPrice]])*Table1[[#This Row],[Discount%]]</f>
        <v>419836.63499999995</v>
      </c>
      <c r="M184" t="str">
        <f>TEXT(Table1[[#This Row],[OrderDate]], "mmm")</f>
        <v>Feb</v>
      </c>
      <c r="N184" t="str">
        <f>IF(Table1[[#This Row],[TotalSales]]&gt;50000,"High",IF(L184&gt;20000,"Medium","Low"))</f>
        <v>High</v>
      </c>
      <c r="O184">
        <f>Table1[[#This Row],[TotalSales]]/Table1[[#This Row],[Quantity]]</f>
        <v>27989.108999999997</v>
      </c>
    </row>
    <row r="185" spans="1:15" x14ac:dyDescent="0.35">
      <c r="A185" t="s">
        <v>243</v>
      </c>
      <c r="B185" s="1">
        <v>45636</v>
      </c>
      <c r="C185" t="s">
        <v>46</v>
      </c>
      <c r="D185" t="s">
        <v>79</v>
      </c>
      <c r="E185" t="s">
        <v>34</v>
      </c>
      <c r="F185" t="s">
        <v>48</v>
      </c>
      <c r="G185" t="s">
        <v>17</v>
      </c>
      <c r="H185">
        <v>8</v>
      </c>
      <c r="I185">
        <v>7827.02</v>
      </c>
      <c r="J185" s="2">
        <v>0</v>
      </c>
      <c r="K185" t="s">
        <v>25</v>
      </c>
      <c r="L185">
        <v>62616.160000000003</v>
      </c>
      <c r="M185" t="str">
        <f>TEXT(Table1[[#This Row],[OrderDate]], "mmm")</f>
        <v>Dec</v>
      </c>
      <c r="N185" t="str">
        <f>IF(Table1[[#This Row],[TotalSales]]&gt;50000,"High",IF(L185&gt;20000,"Medium","Low"))</f>
        <v>High</v>
      </c>
      <c r="O185">
        <f>Table1[[#This Row],[TotalSales]]/Table1[[#This Row],[Quantity]]</f>
        <v>7827.02</v>
      </c>
    </row>
    <row r="186" spans="1:15" x14ac:dyDescent="0.35">
      <c r="A186" t="s">
        <v>244</v>
      </c>
      <c r="B186" s="1">
        <v>45310</v>
      </c>
      <c r="C186" t="s">
        <v>40</v>
      </c>
      <c r="D186" t="s">
        <v>51</v>
      </c>
      <c r="E186" t="s">
        <v>34</v>
      </c>
      <c r="F186" t="s">
        <v>88</v>
      </c>
      <c r="G186" t="s">
        <v>69</v>
      </c>
      <c r="H186">
        <v>13</v>
      </c>
      <c r="I186">
        <v>53269.86</v>
      </c>
      <c r="J186" s="2">
        <v>0.15</v>
      </c>
      <c r="K186" t="s">
        <v>44</v>
      </c>
      <c r="L186">
        <v>588631.94999999995</v>
      </c>
      <c r="M186" t="str">
        <f>TEXT(Table1[[#This Row],[OrderDate]], "mmm")</f>
        <v>Jan</v>
      </c>
      <c r="N186" t="str">
        <f>IF(Table1[[#This Row],[TotalSales]]&gt;50000,"High",IF(L186&gt;20000,"Medium","Low"))</f>
        <v>High</v>
      </c>
      <c r="O186">
        <f>Table1[[#This Row],[TotalSales]]/Table1[[#This Row],[Quantity]]</f>
        <v>45279.380769230767</v>
      </c>
    </row>
    <row r="187" spans="1:15" x14ac:dyDescent="0.35">
      <c r="A187" t="s">
        <v>245</v>
      </c>
      <c r="B187" s="1">
        <v>45512</v>
      </c>
      <c r="C187" t="s">
        <v>40</v>
      </c>
      <c r="D187" t="s">
        <v>41</v>
      </c>
      <c r="E187" t="s">
        <v>22</v>
      </c>
      <c r="F187" t="s">
        <v>23</v>
      </c>
      <c r="G187" t="s">
        <v>69</v>
      </c>
      <c r="H187">
        <v>2</v>
      </c>
      <c r="I187">
        <v>778.02</v>
      </c>
      <c r="J187" s="2">
        <v>0</v>
      </c>
      <c r="K187" t="s">
        <v>25</v>
      </c>
      <c r="L187">
        <v>1556.04</v>
      </c>
      <c r="M187" t="str">
        <f>TEXT(Table1[[#This Row],[OrderDate]], "mmm")</f>
        <v>Aug</v>
      </c>
      <c r="N187" t="str">
        <f>IF(Table1[[#This Row],[TotalSales]]&gt;50000,"High",IF(L187&gt;20000,"Medium","Low"))</f>
        <v>Low</v>
      </c>
      <c r="O187">
        <f>Table1[[#This Row],[TotalSales]]/Table1[[#This Row],[Quantity]]</f>
        <v>778.02</v>
      </c>
    </row>
    <row r="188" spans="1:15" x14ac:dyDescent="0.35">
      <c r="A188" t="s">
        <v>246</v>
      </c>
      <c r="B188" s="1">
        <v>45593</v>
      </c>
      <c r="C188" t="s">
        <v>40</v>
      </c>
      <c r="D188" t="s">
        <v>51</v>
      </c>
      <c r="E188" t="s">
        <v>28</v>
      </c>
      <c r="F188" t="s">
        <v>104</v>
      </c>
      <c r="G188" t="s">
        <v>17</v>
      </c>
      <c r="H188">
        <v>12</v>
      </c>
      <c r="I188">
        <v>27625.52</v>
      </c>
      <c r="J188" s="2">
        <v>0</v>
      </c>
      <c r="K188" t="s">
        <v>31</v>
      </c>
      <c r="L188">
        <v>331506.24</v>
      </c>
      <c r="M188" t="str">
        <f>TEXT(Table1[[#This Row],[OrderDate]], "mmm")</f>
        <v>Oct</v>
      </c>
      <c r="N188" t="str">
        <f>IF(Table1[[#This Row],[TotalSales]]&gt;50000,"High",IF(L188&gt;20000,"Medium","Low"))</f>
        <v>High</v>
      </c>
      <c r="O188">
        <f>Table1[[#This Row],[TotalSales]]/Table1[[#This Row],[Quantity]]</f>
        <v>27625.52</v>
      </c>
    </row>
    <row r="189" spans="1:15" x14ac:dyDescent="0.35">
      <c r="A189" t="s">
        <v>247</v>
      </c>
      <c r="B189" s="1">
        <v>45525</v>
      </c>
      <c r="C189" t="s">
        <v>13</v>
      </c>
      <c r="D189" t="s">
        <v>37</v>
      </c>
      <c r="E189" t="s">
        <v>22</v>
      </c>
      <c r="F189" t="s">
        <v>52</v>
      </c>
      <c r="G189" t="s">
        <v>17</v>
      </c>
      <c r="H189">
        <v>13</v>
      </c>
      <c r="I189">
        <v>11536.33</v>
      </c>
      <c r="J189" s="2">
        <v>0.05</v>
      </c>
      <c r="K189" t="s">
        <v>44</v>
      </c>
      <c r="L189">
        <v>142473.68</v>
      </c>
      <c r="M189" t="str">
        <f>TEXT(Table1[[#This Row],[OrderDate]], "mmm")</f>
        <v>Aug</v>
      </c>
      <c r="N189" t="str">
        <f>IF(Table1[[#This Row],[TotalSales]]&gt;50000,"High",IF(L189&gt;20000,"Medium","Low"))</f>
        <v>High</v>
      </c>
      <c r="O189">
        <f>Table1[[#This Row],[TotalSales]]/Table1[[#This Row],[Quantity]]</f>
        <v>10959.513846153846</v>
      </c>
    </row>
    <row r="190" spans="1:15" x14ac:dyDescent="0.35">
      <c r="A190" t="s">
        <v>248</v>
      </c>
      <c r="B190" s="1">
        <v>45623</v>
      </c>
      <c r="C190" t="s">
        <v>46</v>
      </c>
      <c r="D190" t="s">
        <v>79</v>
      </c>
      <c r="E190" t="s">
        <v>15</v>
      </c>
      <c r="F190" t="s">
        <v>16</v>
      </c>
      <c r="G190" t="s">
        <v>83</v>
      </c>
      <c r="H190">
        <v>2</v>
      </c>
      <c r="I190">
        <v>37307.24</v>
      </c>
      <c r="J190" s="2">
        <v>0</v>
      </c>
      <c r="K190" t="s">
        <v>25</v>
      </c>
      <c r="L190">
        <v>74614.48</v>
      </c>
      <c r="M190" t="str">
        <f>TEXT(Table1[[#This Row],[OrderDate]], "mmm")</f>
        <v>Nov</v>
      </c>
      <c r="N190" t="str">
        <f>IF(Table1[[#This Row],[TotalSales]]&gt;50000,"High",IF(L190&gt;20000,"Medium","Low"))</f>
        <v>High</v>
      </c>
      <c r="O190">
        <f>Table1[[#This Row],[TotalSales]]/Table1[[#This Row],[Quantity]]</f>
        <v>37307.24</v>
      </c>
    </row>
    <row r="191" spans="1:15" x14ac:dyDescent="0.35">
      <c r="A191" t="s">
        <v>249</v>
      </c>
      <c r="B191" s="1">
        <v>45386</v>
      </c>
      <c r="C191" t="s">
        <v>40</v>
      </c>
      <c r="D191" t="s">
        <v>51</v>
      </c>
      <c r="E191" t="s">
        <v>34</v>
      </c>
      <c r="F191" t="s">
        <v>61</v>
      </c>
      <c r="G191" t="s">
        <v>66</v>
      </c>
      <c r="H191">
        <v>3</v>
      </c>
      <c r="I191">
        <v>35298.239999999998</v>
      </c>
      <c r="J191" s="2">
        <v>0.05</v>
      </c>
      <c r="K191" t="s">
        <v>25</v>
      </c>
      <c r="L191">
        <v>100599.98</v>
      </c>
      <c r="M191" t="str">
        <f>TEXT(Table1[[#This Row],[OrderDate]], "mmm")</f>
        <v>Apr</v>
      </c>
      <c r="N191" t="str">
        <f>IF(Table1[[#This Row],[TotalSales]]&gt;50000,"High",IF(L191&gt;20000,"Medium","Low"))</f>
        <v>High</v>
      </c>
      <c r="O191">
        <f>Table1[[#This Row],[TotalSales]]/Table1[[#This Row],[Quantity]]</f>
        <v>33533.326666666668</v>
      </c>
    </row>
    <row r="192" spans="1:15" x14ac:dyDescent="0.35">
      <c r="A192" t="s">
        <v>250</v>
      </c>
      <c r="B192" s="1">
        <v>45652</v>
      </c>
      <c r="C192" t="s">
        <v>20</v>
      </c>
      <c r="D192" t="s">
        <v>97</v>
      </c>
      <c r="E192" t="s">
        <v>15</v>
      </c>
      <c r="F192" t="s">
        <v>59</v>
      </c>
      <c r="G192" t="s">
        <v>30</v>
      </c>
      <c r="H192">
        <v>13</v>
      </c>
      <c r="I192">
        <v>43821.24</v>
      </c>
      <c r="J192" s="2">
        <v>0.1</v>
      </c>
      <c r="K192" t="s">
        <v>31</v>
      </c>
      <c r="L192">
        <v>512708.51</v>
      </c>
      <c r="M192" t="str">
        <f>TEXT(Table1[[#This Row],[OrderDate]], "mmm")</f>
        <v>Dec</v>
      </c>
      <c r="N192" t="str">
        <f>IF(Table1[[#This Row],[TotalSales]]&gt;50000,"High",IF(L192&gt;20000,"Medium","Low"))</f>
        <v>High</v>
      </c>
      <c r="O192">
        <f>Table1[[#This Row],[TotalSales]]/Table1[[#This Row],[Quantity]]</f>
        <v>39439.116153846153</v>
      </c>
    </row>
    <row r="193" spans="1:15" x14ac:dyDescent="0.35">
      <c r="A193" t="s">
        <v>251</v>
      </c>
      <c r="B193" s="1">
        <v>45490</v>
      </c>
      <c r="C193" t="s">
        <v>13</v>
      </c>
      <c r="D193" t="s">
        <v>33</v>
      </c>
      <c r="E193" t="s">
        <v>28</v>
      </c>
      <c r="F193" t="s">
        <v>104</v>
      </c>
      <c r="G193" t="s">
        <v>49</v>
      </c>
      <c r="H193">
        <v>10</v>
      </c>
      <c r="I193">
        <v>21711.41</v>
      </c>
      <c r="J193" s="2">
        <v>0</v>
      </c>
      <c r="K193" t="s">
        <v>31</v>
      </c>
      <c r="L193">
        <v>217114.1</v>
      </c>
      <c r="M193" t="str">
        <f>TEXT(Table1[[#This Row],[OrderDate]], "mmm")</f>
        <v>Jul</v>
      </c>
      <c r="N193" t="str">
        <f>IF(Table1[[#This Row],[TotalSales]]&gt;50000,"High",IF(L193&gt;20000,"Medium","Low"))</f>
        <v>High</v>
      </c>
      <c r="O193">
        <f>Table1[[#This Row],[TotalSales]]/Table1[[#This Row],[Quantity]]</f>
        <v>21711.41</v>
      </c>
    </row>
    <row r="194" spans="1:15" x14ac:dyDescent="0.35">
      <c r="A194" t="s">
        <v>252</v>
      </c>
      <c r="B194" s="1">
        <v>45448</v>
      </c>
      <c r="C194" t="s">
        <v>46</v>
      </c>
      <c r="D194" t="s">
        <v>47</v>
      </c>
      <c r="E194" t="s">
        <v>22</v>
      </c>
      <c r="F194" t="s">
        <v>52</v>
      </c>
      <c r="G194" t="s">
        <v>66</v>
      </c>
      <c r="H194">
        <v>2</v>
      </c>
      <c r="I194">
        <v>10230.84</v>
      </c>
      <c r="J194" s="2">
        <v>0.15</v>
      </c>
      <c r="K194" t="s">
        <v>18</v>
      </c>
      <c r="L194">
        <v>17392.43</v>
      </c>
      <c r="M194" t="str">
        <f>TEXT(Table1[[#This Row],[OrderDate]], "mmm")</f>
        <v>Jun</v>
      </c>
      <c r="N194" t="str">
        <f>IF(Table1[[#This Row],[TotalSales]]&gt;50000,"High",IF(L194&gt;20000,"Medium","Low"))</f>
        <v>Low</v>
      </c>
      <c r="O194">
        <f>Table1[[#This Row],[TotalSales]]/Table1[[#This Row],[Quantity]]</f>
        <v>8696.2150000000001</v>
      </c>
    </row>
    <row r="195" spans="1:15" x14ac:dyDescent="0.35">
      <c r="A195" t="s">
        <v>253</v>
      </c>
      <c r="B195" s="1">
        <v>45439</v>
      </c>
      <c r="C195" t="s">
        <v>20</v>
      </c>
      <c r="D195" t="s">
        <v>97</v>
      </c>
      <c r="E195" t="s">
        <v>34</v>
      </c>
      <c r="F195" t="s">
        <v>61</v>
      </c>
      <c r="G195" t="s">
        <v>24</v>
      </c>
      <c r="H195">
        <v>3</v>
      </c>
      <c r="I195">
        <v>10453</v>
      </c>
      <c r="J195" s="2">
        <v>0.2</v>
      </c>
      <c r="K195" t="s">
        <v>18</v>
      </c>
      <c r="L195">
        <f>(Table1[[#This Row],[Quantity]]*Table1[[#This Row],[UnitPrice]])-(Table1[[#This Row],[Quantity]]*Table1[[#This Row],[UnitPrice]])*Table1[[#This Row],[Discount%]]</f>
        <v>25087.200000000001</v>
      </c>
      <c r="M195" t="str">
        <f>TEXT(Table1[[#This Row],[OrderDate]], "mmm")</f>
        <v>May</v>
      </c>
      <c r="N195" t="str">
        <f>IF(Table1[[#This Row],[TotalSales]]&gt;50000,"High",IF(L195&gt;20000,"Medium","Low"))</f>
        <v>Medium</v>
      </c>
      <c r="O195">
        <f>Table1[[#This Row],[TotalSales]]/Table1[[#This Row],[Quantity]]</f>
        <v>8362.4</v>
      </c>
    </row>
    <row r="196" spans="1:15" x14ac:dyDescent="0.35">
      <c r="A196" t="s">
        <v>254</v>
      </c>
      <c r="B196" s="1">
        <v>45543</v>
      </c>
      <c r="C196" t="s">
        <v>40</v>
      </c>
      <c r="D196" t="s">
        <v>51</v>
      </c>
      <c r="E196" t="s">
        <v>34</v>
      </c>
      <c r="F196" t="s">
        <v>88</v>
      </c>
      <c r="G196" t="s">
        <v>49</v>
      </c>
      <c r="H196">
        <v>7</v>
      </c>
      <c r="I196">
        <v>39115.800000000003</v>
      </c>
      <c r="J196" s="2">
        <v>0.05</v>
      </c>
      <c r="K196" t="s">
        <v>31</v>
      </c>
      <c r="L196">
        <v>260120.07</v>
      </c>
      <c r="M196" t="str">
        <f>TEXT(Table1[[#This Row],[OrderDate]], "mmm")</f>
        <v>Sep</v>
      </c>
      <c r="N196" t="str">
        <f>IF(Table1[[#This Row],[TotalSales]]&gt;50000,"High",IF(L196&gt;20000,"Medium","Low"))</f>
        <v>High</v>
      </c>
      <c r="O196">
        <f>Table1[[#This Row],[TotalSales]]/Table1[[#This Row],[Quantity]]</f>
        <v>37160.01</v>
      </c>
    </row>
    <row r="197" spans="1:15" x14ac:dyDescent="0.35">
      <c r="A197" t="s">
        <v>255</v>
      </c>
      <c r="B197" s="1">
        <v>45526</v>
      </c>
      <c r="C197" t="s">
        <v>13</v>
      </c>
      <c r="D197" t="s">
        <v>14</v>
      </c>
      <c r="E197" t="s">
        <v>28</v>
      </c>
      <c r="F197" t="s">
        <v>125</v>
      </c>
      <c r="G197" t="s">
        <v>83</v>
      </c>
      <c r="H197">
        <v>10</v>
      </c>
      <c r="I197">
        <v>40890</v>
      </c>
      <c r="J197" s="2">
        <v>0.2</v>
      </c>
      <c r="K197" t="s">
        <v>31</v>
      </c>
      <c r="L197">
        <v>327120</v>
      </c>
      <c r="M197" t="str">
        <f>TEXT(Table1[[#This Row],[OrderDate]], "mmm")</f>
        <v>Aug</v>
      </c>
      <c r="N197" t="str">
        <f>IF(Table1[[#This Row],[TotalSales]]&gt;50000,"High",IF(L197&gt;20000,"Medium","Low"))</f>
        <v>High</v>
      </c>
      <c r="O197">
        <f>Table1[[#This Row],[TotalSales]]/Table1[[#This Row],[Quantity]]</f>
        <v>32712</v>
      </c>
    </row>
    <row r="198" spans="1:15" x14ac:dyDescent="0.35">
      <c r="A198" t="s">
        <v>256</v>
      </c>
      <c r="B198" s="1">
        <v>45626</v>
      </c>
      <c r="C198" t="s">
        <v>40</v>
      </c>
      <c r="D198" t="s">
        <v>55</v>
      </c>
      <c r="E198" t="s">
        <v>34</v>
      </c>
      <c r="F198" t="s">
        <v>61</v>
      </c>
      <c r="G198" t="s">
        <v>30</v>
      </c>
      <c r="H198">
        <v>13</v>
      </c>
      <c r="I198">
        <v>13764.73</v>
      </c>
      <c r="J198" s="2">
        <v>0.2</v>
      </c>
      <c r="K198" t="s">
        <v>31</v>
      </c>
      <c r="L198">
        <v>143153.19</v>
      </c>
      <c r="M198" t="str">
        <f>TEXT(Table1[[#This Row],[OrderDate]], "mmm")</f>
        <v>Nov</v>
      </c>
      <c r="N198" t="str">
        <f>IF(Table1[[#This Row],[TotalSales]]&gt;50000,"High",IF(L198&gt;20000,"Medium","Low"))</f>
        <v>High</v>
      </c>
      <c r="O198">
        <f>Table1[[#This Row],[TotalSales]]/Table1[[#This Row],[Quantity]]</f>
        <v>11011.783846153847</v>
      </c>
    </row>
    <row r="199" spans="1:15" x14ac:dyDescent="0.35">
      <c r="A199" t="s">
        <v>257</v>
      </c>
      <c r="B199" s="1">
        <v>45604</v>
      </c>
      <c r="C199" t="s">
        <v>13</v>
      </c>
      <c r="D199" t="s">
        <v>33</v>
      </c>
      <c r="E199" t="s">
        <v>22</v>
      </c>
      <c r="F199" t="s">
        <v>42</v>
      </c>
      <c r="G199" t="s">
        <v>83</v>
      </c>
      <c r="H199">
        <v>11</v>
      </c>
      <c r="I199">
        <v>23663.55</v>
      </c>
      <c r="J199" s="2">
        <v>0.1</v>
      </c>
      <c r="K199" t="s">
        <v>44</v>
      </c>
      <c r="L199">
        <v>234269.14</v>
      </c>
      <c r="M199" t="str">
        <f>TEXT(Table1[[#This Row],[OrderDate]], "mmm")</f>
        <v>Nov</v>
      </c>
      <c r="N199" t="str">
        <f>IF(Table1[[#This Row],[TotalSales]]&gt;50000,"High",IF(L199&gt;20000,"Medium","Low"))</f>
        <v>High</v>
      </c>
      <c r="O199">
        <f>Table1[[#This Row],[TotalSales]]/Table1[[#This Row],[Quantity]]</f>
        <v>21297.194545454546</v>
      </c>
    </row>
    <row r="200" spans="1:15" x14ac:dyDescent="0.35">
      <c r="A200" t="s">
        <v>258</v>
      </c>
      <c r="B200" s="1">
        <v>45585</v>
      </c>
      <c r="C200" t="s">
        <v>13</v>
      </c>
      <c r="D200" t="s">
        <v>37</v>
      </c>
      <c r="E200" t="s">
        <v>22</v>
      </c>
      <c r="F200" t="s">
        <v>52</v>
      </c>
      <c r="G200" t="s">
        <v>66</v>
      </c>
      <c r="H200">
        <v>5</v>
      </c>
      <c r="I200">
        <v>52391.37</v>
      </c>
      <c r="J200" s="2">
        <v>0.1</v>
      </c>
      <c r="K200" t="s">
        <v>31</v>
      </c>
      <c r="L200">
        <v>235761.17</v>
      </c>
      <c r="M200" t="str">
        <f>TEXT(Table1[[#This Row],[OrderDate]], "mmm")</f>
        <v>Oct</v>
      </c>
      <c r="N200" t="str">
        <f>IF(Table1[[#This Row],[TotalSales]]&gt;50000,"High",IF(L200&gt;20000,"Medium","Low"))</f>
        <v>High</v>
      </c>
      <c r="O200">
        <f>Table1[[#This Row],[TotalSales]]/Table1[[#This Row],[Quantity]]</f>
        <v>47152.234000000004</v>
      </c>
    </row>
    <row r="201" spans="1:15" x14ac:dyDescent="0.35">
      <c r="A201" t="s">
        <v>259</v>
      </c>
      <c r="B201" s="1">
        <v>45366</v>
      </c>
      <c r="C201" t="s">
        <v>20</v>
      </c>
      <c r="D201" t="s">
        <v>27</v>
      </c>
      <c r="E201" t="s">
        <v>28</v>
      </c>
      <c r="F201" t="s">
        <v>125</v>
      </c>
      <c r="G201" t="s">
        <v>49</v>
      </c>
      <c r="H201">
        <v>12</v>
      </c>
      <c r="I201">
        <v>17850.900000000001</v>
      </c>
      <c r="J201" s="2">
        <v>0</v>
      </c>
      <c r="K201" t="s">
        <v>25</v>
      </c>
      <c r="L201">
        <v>214210.8</v>
      </c>
      <c r="M201" t="str">
        <f>TEXT(Table1[[#This Row],[OrderDate]], "mmm")</f>
        <v>Mar</v>
      </c>
      <c r="N201" t="str">
        <f>IF(Table1[[#This Row],[TotalSales]]&gt;50000,"High",IF(L201&gt;20000,"Medium","Low"))</f>
        <v>High</v>
      </c>
      <c r="O201">
        <f>Table1[[#This Row],[TotalSales]]/Table1[[#This Row],[Quantity]]</f>
        <v>17850.899999999998</v>
      </c>
    </row>
    <row r="202" spans="1:15" x14ac:dyDescent="0.35">
      <c r="A202" t="s">
        <v>260</v>
      </c>
      <c r="B202" s="1">
        <v>45339</v>
      </c>
      <c r="C202" t="s">
        <v>46</v>
      </c>
      <c r="D202" t="s">
        <v>71</v>
      </c>
      <c r="E202" t="s">
        <v>34</v>
      </c>
      <c r="F202" t="s">
        <v>88</v>
      </c>
      <c r="G202" t="s">
        <v>43</v>
      </c>
      <c r="H202">
        <v>7</v>
      </c>
      <c r="I202">
        <v>28455.62</v>
      </c>
      <c r="J202" s="2">
        <v>0</v>
      </c>
      <c r="K202" t="s">
        <v>31</v>
      </c>
      <c r="L202">
        <v>199189.34</v>
      </c>
      <c r="M202" t="str">
        <f>TEXT(Table1[[#This Row],[OrderDate]], "mmm")</f>
        <v>Feb</v>
      </c>
      <c r="N202" t="str">
        <f>IF(Table1[[#This Row],[TotalSales]]&gt;50000,"High",IF(L202&gt;20000,"Medium","Low"))</f>
        <v>High</v>
      </c>
      <c r="O202">
        <f>Table1[[#This Row],[TotalSales]]/Table1[[#This Row],[Quantity]]</f>
        <v>28455.62</v>
      </c>
    </row>
    <row r="203" spans="1:15" x14ac:dyDescent="0.35">
      <c r="A203" t="s">
        <v>261</v>
      </c>
      <c r="B203" s="1">
        <v>45495</v>
      </c>
      <c r="C203" t="s">
        <v>46</v>
      </c>
      <c r="D203" t="s">
        <v>71</v>
      </c>
      <c r="E203" t="s">
        <v>34</v>
      </c>
      <c r="F203" t="s">
        <v>48</v>
      </c>
      <c r="G203" t="s">
        <v>24</v>
      </c>
      <c r="H203">
        <v>4</v>
      </c>
      <c r="I203">
        <v>53253.45</v>
      </c>
      <c r="J203" s="2">
        <v>0.2</v>
      </c>
      <c r="K203" t="s">
        <v>25</v>
      </c>
      <c r="L203">
        <v>170411.04</v>
      </c>
      <c r="M203" t="str">
        <f>TEXT(Table1[[#This Row],[OrderDate]], "mmm")</f>
        <v>Jul</v>
      </c>
      <c r="N203" t="str">
        <f>IF(Table1[[#This Row],[TotalSales]]&gt;50000,"High",IF(L203&gt;20000,"Medium","Low"))</f>
        <v>High</v>
      </c>
      <c r="O203">
        <f>Table1[[#This Row],[TotalSales]]/Table1[[#This Row],[Quantity]]</f>
        <v>42602.76</v>
      </c>
    </row>
    <row r="204" spans="1:15" x14ac:dyDescent="0.35">
      <c r="A204" t="s">
        <v>262</v>
      </c>
      <c r="B204" s="1">
        <v>45612</v>
      </c>
      <c r="C204" t="s">
        <v>46</v>
      </c>
      <c r="D204" t="s">
        <v>47</v>
      </c>
      <c r="E204" t="s">
        <v>28</v>
      </c>
      <c r="F204" t="s">
        <v>76</v>
      </c>
      <c r="G204" t="s">
        <v>66</v>
      </c>
      <c r="H204">
        <v>13</v>
      </c>
      <c r="I204">
        <v>46051.28</v>
      </c>
      <c r="J204" s="2">
        <v>0</v>
      </c>
      <c r="K204" t="s">
        <v>18</v>
      </c>
      <c r="L204">
        <f>(Table1[[#This Row],[Quantity]]*Table1[[#This Row],[UnitPrice]])-(Table1[[#This Row],[Quantity]]*Table1[[#This Row],[UnitPrice]])*Table1[[#This Row],[Discount%]]</f>
        <v>598666.64</v>
      </c>
      <c r="M204" t="str">
        <f>TEXT(Table1[[#This Row],[OrderDate]], "mmm")</f>
        <v>Nov</v>
      </c>
      <c r="N204" t="str">
        <f>IF(Table1[[#This Row],[TotalSales]]&gt;50000,"High",IF(L204&gt;20000,"Medium","Low"))</f>
        <v>High</v>
      </c>
      <c r="O204">
        <f>Table1[[#This Row],[TotalSales]]/Table1[[#This Row],[Quantity]]</f>
        <v>46051.28</v>
      </c>
    </row>
    <row r="205" spans="1:15" x14ac:dyDescent="0.35">
      <c r="A205" t="s">
        <v>263</v>
      </c>
      <c r="B205" s="1">
        <v>45339</v>
      </c>
      <c r="C205" t="s">
        <v>20</v>
      </c>
      <c r="D205" t="s">
        <v>97</v>
      </c>
      <c r="E205" t="s">
        <v>22</v>
      </c>
      <c r="F205" t="s">
        <v>52</v>
      </c>
      <c r="G205" t="s">
        <v>49</v>
      </c>
      <c r="H205">
        <v>11</v>
      </c>
      <c r="I205">
        <v>19951.86</v>
      </c>
      <c r="J205" s="2">
        <v>0</v>
      </c>
      <c r="K205" t="s">
        <v>18</v>
      </c>
      <c r="L205">
        <v>219470.46</v>
      </c>
      <c r="M205" t="str">
        <f>TEXT(Table1[[#This Row],[OrderDate]], "mmm")</f>
        <v>Feb</v>
      </c>
      <c r="N205" t="str">
        <f>IF(Table1[[#This Row],[TotalSales]]&gt;50000,"High",IF(L205&gt;20000,"Medium","Low"))</f>
        <v>High</v>
      </c>
      <c r="O205">
        <f>Table1[[#This Row],[TotalSales]]/Table1[[#This Row],[Quantity]]</f>
        <v>19951.86</v>
      </c>
    </row>
    <row r="206" spans="1:15" x14ac:dyDescent="0.35">
      <c r="A206" t="s">
        <v>264</v>
      </c>
      <c r="B206" s="1">
        <v>45401</v>
      </c>
      <c r="C206" t="s">
        <v>46</v>
      </c>
      <c r="D206" t="s">
        <v>47</v>
      </c>
      <c r="E206" t="s">
        <v>34</v>
      </c>
      <c r="F206" t="s">
        <v>35</v>
      </c>
      <c r="G206" t="s">
        <v>17</v>
      </c>
      <c r="H206">
        <v>8</v>
      </c>
      <c r="I206">
        <v>4471.04</v>
      </c>
      <c r="J206" s="2">
        <v>0.1</v>
      </c>
      <c r="K206" t="s">
        <v>25</v>
      </c>
      <c r="L206">
        <v>32191.49</v>
      </c>
      <c r="M206" t="str">
        <f>TEXT(Table1[[#This Row],[OrderDate]], "mmm")</f>
        <v>Apr</v>
      </c>
      <c r="N206" t="str">
        <f>IF(Table1[[#This Row],[TotalSales]]&gt;50000,"High",IF(L206&gt;20000,"Medium","Low"))</f>
        <v>Medium</v>
      </c>
      <c r="O206">
        <f>Table1[[#This Row],[TotalSales]]/Table1[[#This Row],[Quantity]]</f>
        <v>4023.9362500000002</v>
      </c>
    </row>
    <row r="207" spans="1:15" x14ac:dyDescent="0.35">
      <c r="A207" t="s">
        <v>265</v>
      </c>
      <c r="B207" s="1">
        <v>45488</v>
      </c>
      <c r="C207" t="s">
        <v>46</v>
      </c>
      <c r="D207" t="s">
        <v>47</v>
      </c>
      <c r="E207" t="s">
        <v>22</v>
      </c>
      <c r="F207" t="s">
        <v>82</v>
      </c>
      <c r="G207" t="s">
        <v>24</v>
      </c>
      <c r="H207">
        <v>2</v>
      </c>
      <c r="I207">
        <v>40245.83</v>
      </c>
      <c r="J207" s="2">
        <v>0</v>
      </c>
      <c r="K207" t="s">
        <v>18</v>
      </c>
      <c r="L207">
        <v>80491.66</v>
      </c>
      <c r="M207" t="str">
        <f>TEXT(Table1[[#This Row],[OrderDate]], "mmm")</f>
        <v>Jul</v>
      </c>
      <c r="N207" t="str">
        <f>IF(Table1[[#This Row],[TotalSales]]&gt;50000,"High",IF(L207&gt;20000,"Medium","Low"))</f>
        <v>High</v>
      </c>
      <c r="O207">
        <f>Table1[[#This Row],[TotalSales]]/Table1[[#This Row],[Quantity]]</f>
        <v>40245.83</v>
      </c>
    </row>
    <row r="208" spans="1:15" x14ac:dyDescent="0.35">
      <c r="A208" t="s">
        <v>266</v>
      </c>
      <c r="B208" s="1">
        <v>45471</v>
      </c>
      <c r="C208" t="s">
        <v>20</v>
      </c>
      <c r="D208" t="s">
        <v>97</v>
      </c>
      <c r="E208" t="s">
        <v>15</v>
      </c>
      <c r="F208" t="s">
        <v>16</v>
      </c>
      <c r="G208" t="s">
        <v>17</v>
      </c>
      <c r="H208">
        <v>12</v>
      </c>
      <c r="I208">
        <v>11875.44</v>
      </c>
      <c r="J208" s="2">
        <v>0.15</v>
      </c>
      <c r="K208" t="s">
        <v>31</v>
      </c>
      <c r="L208">
        <v>121129.49</v>
      </c>
      <c r="M208" t="str">
        <f>TEXT(Table1[[#This Row],[OrderDate]], "mmm")</f>
        <v>Jun</v>
      </c>
      <c r="N208" t="str">
        <f>IF(Table1[[#This Row],[TotalSales]]&gt;50000,"High",IF(L208&gt;20000,"Medium","Low"))</f>
        <v>High</v>
      </c>
      <c r="O208">
        <f>Table1[[#This Row],[TotalSales]]/Table1[[#This Row],[Quantity]]</f>
        <v>10094.124166666666</v>
      </c>
    </row>
    <row r="209" spans="1:15" x14ac:dyDescent="0.35">
      <c r="A209" t="s">
        <v>267</v>
      </c>
      <c r="B209" s="1">
        <v>45511</v>
      </c>
      <c r="C209" t="s">
        <v>40</v>
      </c>
      <c r="D209" t="s">
        <v>41</v>
      </c>
      <c r="E209" t="s">
        <v>22</v>
      </c>
      <c r="F209" t="s">
        <v>23</v>
      </c>
      <c r="G209" t="s">
        <v>49</v>
      </c>
      <c r="H209">
        <v>6</v>
      </c>
      <c r="I209">
        <v>43551</v>
      </c>
      <c r="J209" s="2">
        <v>0</v>
      </c>
      <c r="K209" t="s">
        <v>31</v>
      </c>
      <c r="L209">
        <v>261306</v>
      </c>
      <c r="M209" t="str">
        <f>TEXT(Table1[[#This Row],[OrderDate]], "mmm")</f>
        <v>Aug</v>
      </c>
      <c r="N209" t="str">
        <f>IF(Table1[[#This Row],[TotalSales]]&gt;50000,"High",IF(L209&gt;20000,"Medium","Low"))</f>
        <v>High</v>
      </c>
      <c r="O209">
        <f>Table1[[#This Row],[TotalSales]]/Table1[[#This Row],[Quantity]]</f>
        <v>43551</v>
      </c>
    </row>
    <row r="210" spans="1:15" x14ac:dyDescent="0.35">
      <c r="A210" t="s">
        <v>268</v>
      </c>
      <c r="B210" s="1">
        <v>45492</v>
      </c>
      <c r="C210" t="s">
        <v>20</v>
      </c>
      <c r="D210" t="s">
        <v>21</v>
      </c>
      <c r="E210" t="s">
        <v>28</v>
      </c>
      <c r="F210" t="s">
        <v>125</v>
      </c>
      <c r="G210" t="s">
        <v>30</v>
      </c>
      <c r="H210">
        <v>5</v>
      </c>
      <c r="I210">
        <v>35610.1</v>
      </c>
      <c r="J210" s="2">
        <v>0.2</v>
      </c>
      <c r="K210" t="s">
        <v>31</v>
      </c>
      <c r="L210">
        <v>142440.4</v>
      </c>
      <c r="M210" t="str">
        <f>TEXT(Table1[[#This Row],[OrderDate]], "mmm")</f>
        <v>Jul</v>
      </c>
      <c r="N210" t="str">
        <f>IF(Table1[[#This Row],[TotalSales]]&gt;50000,"High",IF(L210&gt;20000,"Medium","Low"))</f>
        <v>High</v>
      </c>
      <c r="O210">
        <f>Table1[[#This Row],[TotalSales]]/Table1[[#This Row],[Quantity]]</f>
        <v>28488.079999999998</v>
      </c>
    </row>
    <row r="211" spans="1:15" x14ac:dyDescent="0.35">
      <c r="A211" t="s">
        <v>269</v>
      </c>
      <c r="B211" s="1">
        <v>45490</v>
      </c>
      <c r="C211" t="s">
        <v>13</v>
      </c>
      <c r="D211" t="s">
        <v>14</v>
      </c>
      <c r="E211" t="s">
        <v>15</v>
      </c>
      <c r="F211" t="s">
        <v>56</v>
      </c>
      <c r="G211" t="s">
        <v>17</v>
      </c>
      <c r="H211">
        <v>14</v>
      </c>
      <c r="I211">
        <v>46175.74</v>
      </c>
      <c r="J211" s="2">
        <v>0.05</v>
      </c>
      <c r="K211" t="s">
        <v>31</v>
      </c>
      <c r="L211">
        <v>614137.34</v>
      </c>
      <c r="M211" t="str">
        <f>TEXT(Table1[[#This Row],[OrderDate]], "mmm")</f>
        <v>Jul</v>
      </c>
      <c r="N211" t="str">
        <f>IF(Table1[[#This Row],[TotalSales]]&gt;50000,"High",IF(L211&gt;20000,"Medium","Low"))</f>
        <v>High</v>
      </c>
      <c r="O211">
        <f>Table1[[#This Row],[TotalSales]]/Table1[[#This Row],[Quantity]]</f>
        <v>43866.952857142853</v>
      </c>
    </row>
    <row r="212" spans="1:15" x14ac:dyDescent="0.35">
      <c r="A212" t="s">
        <v>270</v>
      </c>
      <c r="B212" s="1">
        <v>45312</v>
      </c>
      <c r="C212" t="s">
        <v>13</v>
      </c>
      <c r="D212" t="s">
        <v>14</v>
      </c>
      <c r="E212" t="s">
        <v>15</v>
      </c>
      <c r="F212" t="s">
        <v>16</v>
      </c>
      <c r="G212" t="s">
        <v>66</v>
      </c>
      <c r="H212">
        <v>15</v>
      </c>
      <c r="I212">
        <v>3513.69</v>
      </c>
      <c r="J212" s="2">
        <v>0.2</v>
      </c>
      <c r="K212" t="s">
        <v>25</v>
      </c>
      <c r="L212">
        <v>42164.28</v>
      </c>
      <c r="M212" t="str">
        <f>TEXT(Table1[[#This Row],[OrderDate]], "mmm")</f>
        <v>Jan</v>
      </c>
      <c r="N212" t="str">
        <f>IF(Table1[[#This Row],[TotalSales]]&gt;50000,"High",IF(L212&gt;20000,"Medium","Low"))</f>
        <v>Medium</v>
      </c>
      <c r="O212">
        <f>Table1[[#This Row],[TotalSales]]/Table1[[#This Row],[Quantity]]</f>
        <v>2810.9519999999998</v>
      </c>
    </row>
    <row r="213" spans="1:15" x14ac:dyDescent="0.35">
      <c r="A213" t="s">
        <v>271</v>
      </c>
      <c r="B213" s="1">
        <v>45450</v>
      </c>
      <c r="C213" t="s">
        <v>13</v>
      </c>
      <c r="D213" t="s">
        <v>14</v>
      </c>
      <c r="E213" t="s">
        <v>15</v>
      </c>
      <c r="F213" t="s">
        <v>59</v>
      </c>
      <c r="G213" t="s">
        <v>17</v>
      </c>
      <c r="H213">
        <v>2</v>
      </c>
      <c r="I213">
        <v>28219.5</v>
      </c>
      <c r="J213" s="2">
        <v>0</v>
      </c>
      <c r="K213" t="s">
        <v>44</v>
      </c>
      <c r="L213">
        <v>56439</v>
      </c>
      <c r="M213" t="str">
        <f>TEXT(Table1[[#This Row],[OrderDate]], "mmm")</f>
        <v>Jun</v>
      </c>
      <c r="N213" t="str">
        <f>IF(Table1[[#This Row],[TotalSales]]&gt;50000,"High",IF(L213&gt;20000,"Medium","Low"))</f>
        <v>High</v>
      </c>
      <c r="O213">
        <f>Table1[[#This Row],[TotalSales]]/Table1[[#This Row],[Quantity]]</f>
        <v>28219.5</v>
      </c>
    </row>
    <row r="214" spans="1:15" x14ac:dyDescent="0.35">
      <c r="A214" t="s">
        <v>272</v>
      </c>
      <c r="B214" s="1">
        <v>45336</v>
      </c>
      <c r="C214" t="s">
        <v>46</v>
      </c>
      <c r="D214" t="s">
        <v>47</v>
      </c>
      <c r="E214" t="s">
        <v>34</v>
      </c>
      <c r="F214" t="s">
        <v>61</v>
      </c>
      <c r="G214" t="s">
        <v>24</v>
      </c>
      <c r="H214">
        <v>15</v>
      </c>
      <c r="I214">
        <v>24009.7</v>
      </c>
      <c r="J214" s="2">
        <v>0.05</v>
      </c>
      <c r="K214" t="s">
        <v>31</v>
      </c>
      <c r="L214">
        <v>342138.22</v>
      </c>
      <c r="M214" t="str">
        <f>TEXT(Table1[[#This Row],[OrderDate]], "mmm")</f>
        <v>Feb</v>
      </c>
      <c r="N214" t="str">
        <f>IF(Table1[[#This Row],[TotalSales]]&gt;50000,"High",IF(L214&gt;20000,"Medium","Low"))</f>
        <v>High</v>
      </c>
      <c r="O214">
        <f>Table1[[#This Row],[TotalSales]]/Table1[[#This Row],[Quantity]]</f>
        <v>22809.214666666663</v>
      </c>
    </row>
    <row r="215" spans="1:15" x14ac:dyDescent="0.35">
      <c r="A215" t="s">
        <v>273</v>
      </c>
      <c r="B215" s="1">
        <v>45546</v>
      </c>
      <c r="C215" t="s">
        <v>46</v>
      </c>
      <c r="D215" t="s">
        <v>47</v>
      </c>
      <c r="E215" t="s">
        <v>15</v>
      </c>
      <c r="F215" t="s">
        <v>59</v>
      </c>
      <c r="G215" t="s">
        <v>49</v>
      </c>
      <c r="H215">
        <v>6</v>
      </c>
      <c r="I215">
        <v>28860.69</v>
      </c>
      <c r="J215" s="2">
        <v>0.2</v>
      </c>
      <c r="K215" t="s">
        <v>31</v>
      </c>
      <c r="L215">
        <v>138531.31</v>
      </c>
      <c r="M215" t="str">
        <f>TEXT(Table1[[#This Row],[OrderDate]], "mmm")</f>
        <v>Sep</v>
      </c>
      <c r="N215" t="str">
        <f>IF(Table1[[#This Row],[TotalSales]]&gt;50000,"High",IF(L215&gt;20000,"Medium","Low"))</f>
        <v>High</v>
      </c>
      <c r="O215">
        <f>Table1[[#This Row],[TotalSales]]/Table1[[#This Row],[Quantity]]</f>
        <v>23088.551666666666</v>
      </c>
    </row>
    <row r="216" spans="1:15" x14ac:dyDescent="0.35">
      <c r="A216" t="s">
        <v>274</v>
      </c>
      <c r="B216" s="1">
        <v>45560</v>
      </c>
      <c r="C216" t="s">
        <v>40</v>
      </c>
      <c r="D216" t="s">
        <v>41</v>
      </c>
      <c r="E216" t="s">
        <v>15</v>
      </c>
      <c r="F216" t="s">
        <v>56</v>
      </c>
      <c r="G216" t="s">
        <v>24</v>
      </c>
      <c r="H216">
        <v>2</v>
      </c>
      <c r="I216">
        <v>14609.64</v>
      </c>
      <c r="J216" s="2">
        <v>0.1</v>
      </c>
      <c r="K216" t="s">
        <v>44</v>
      </c>
      <c r="L216">
        <v>26297.35</v>
      </c>
      <c r="M216" t="str">
        <f>TEXT(Table1[[#This Row],[OrderDate]], "mmm")</f>
        <v>Sep</v>
      </c>
      <c r="N216" t="str">
        <f>IF(Table1[[#This Row],[TotalSales]]&gt;50000,"High",IF(L216&gt;20000,"Medium","Low"))</f>
        <v>Medium</v>
      </c>
      <c r="O216">
        <f>Table1[[#This Row],[TotalSales]]/Table1[[#This Row],[Quantity]]</f>
        <v>13148.674999999999</v>
      </c>
    </row>
    <row r="217" spans="1:15" x14ac:dyDescent="0.35">
      <c r="A217" t="s">
        <v>275</v>
      </c>
      <c r="B217" s="1">
        <v>45637</v>
      </c>
      <c r="C217" t="s">
        <v>46</v>
      </c>
      <c r="D217" t="s">
        <v>71</v>
      </c>
      <c r="E217" t="s">
        <v>22</v>
      </c>
      <c r="F217" t="s">
        <v>52</v>
      </c>
      <c r="G217" t="s">
        <v>30</v>
      </c>
      <c r="H217">
        <v>12</v>
      </c>
      <c r="I217">
        <v>6520.28</v>
      </c>
      <c r="J217" s="2">
        <v>0.15</v>
      </c>
      <c r="K217" t="s">
        <v>44</v>
      </c>
      <c r="L217">
        <v>66506.86</v>
      </c>
      <c r="M217" t="str">
        <f>TEXT(Table1[[#This Row],[OrderDate]], "mmm")</f>
        <v>Dec</v>
      </c>
      <c r="N217" t="str">
        <f>IF(Table1[[#This Row],[TotalSales]]&gt;50000,"High",IF(L217&gt;20000,"Medium","Low"))</f>
        <v>High</v>
      </c>
      <c r="O217">
        <f>Table1[[#This Row],[TotalSales]]/Table1[[#This Row],[Quantity]]</f>
        <v>5542.2383333333337</v>
      </c>
    </row>
    <row r="218" spans="1:15" x14ac:dyDescent="0.35">
      <c r="A218" t="s">
        <v>276</v>
      </c>
      <c r="B218" s="1">
        <v>45575</v>
      </c>
      <c r="C218" t="s">
        <v>20</v>
      </c>
      <c r="D218" t="s">
        <v>27</v>
      </c>
      <c r="E218" t="s">
        <v>34</v>
      </c>
      <c r="F218" t="s">
        <v>61</v>
      </c>
      <c r="G218" t="s">
        <v>83</v>
      </c>
      <c r="H218">
        <v>13</v>
      </c>
      <c r="I218">
        <v>50284.33</v>
      </c>
      <c r="J218" s="2">
        <v>0.15</v>
      </c>
      <c r="K218" t="s">
        <v>44</v>
      </c>
      <c r="L218">
        <v>555641.85</v>
      </c>
      <c r="M218" t="str">
        <f>TEXT(Table1[[#This Row],[OrderDate]], "mmm")</f>
        <v>Oct</v>
      </c>
      <c r="N218" t="str">
        <f>IF(Table1[[#This Row],[TotalSales]]&gt;50000,"High",IF(L218&gt;20000,"Medium","Low"))</f>
        <v>High</v>
      </c>
      <c r="O218">
        <f>Table1[[#This Row],[TotalSales]]/Table1[[#This Row],[Quantity]]</f>
        <v>42741.68076923077</v>
      </c>
    </row>
    <row r="219" spans="1:15" x14ac:dyDescent="0.35">
      <c r="A219" t="s">
        <v>277</v>
      </c>
      <c r="B219" s="1">
        <v>45636</v>
      </c>
      <c r="C219" t="s">
        <v>46</v>
      </c>
      <c r="D219" t="s">
        <v>71</v>
      </c>
      <c r="E219" t="s">
        <v>15</v>
      </c>
      <c r="F219" t="s">
        <v>56</v>
      </c>
      <c r="G219" t="s">
        <v>30</v>
      </c>
      <c r="H219">
        <v>15</v>
      </c>
      <c r="I219">
        <v>3086.43</v>
      </c>
      <c r="J219" s="2">
        <v>0</v>
      </c>
      <c r="K219" t="s">
        <v>44</v>
      </c>
      <c r="L219">
        <v>46296.45</v>
      </c>
      <c r="M219" t="str">
        <f>TEXT(Table1[[#This Row],[OrderDate]], "mmm")</f>
        <v>Dec</v>
      </c>
      <c r="N219" t="str">
        <f>IF(Table1[[#This Row],[TotalSales]]&gt;50000,"High",IF(L219&gt;20000,"Medium","Low"))</f>
        <v>Medium</v>
      </c>
      <c r="O219">
        <f>Table1[[#This Row],[TotalSales]]/Table1[[#This Row],[Quantity]]</f>
        <v>3086.43</v>
      </c>
    </row>
    <row r="220" spans="1:15" x14ac:dyDescent="0.35">
      <c r="A220" t="s">
        <v>278</v>
      </c>
      <c r="B220" s="1">
        <v>45525</v>
      </c>
      <c r="C220" t="s">
        <v>46</v>
      </c>
      <c r="D220" t="s">
        <v>71</v>
      </c>
      <c r="E220" t="s">
        <v>28</v>
      </c>
      <c r="F220" t="s">
        <v>29</v>
      </c>
      <c r="G220" t="s">
        <v>30</v>
      </c>
      <c r="H220">
        <v>1</v>
      </c>
      <c r="I220">
        <v>20416.78</v>
      </c>
      <c r="J220" s="2">
        <v>0</v>
      </c>
      <c r="K220" t="s">
        <v>18</v>
      </c>
      <c r="L220">
        <v>20416.78</v>
      </c>
      <c r="M220" t="str">
        <f>TEXT(Table1[[#This Row],[OrderDate]], "mmm")</f>
        <v>Aug</v>
      </c>
      <c r="N220" t="str">
        <f>IF(Table1[[#This Row],[TotalSales]]&gt;50000,"High",IF(L220&gt;20000,"Medium","Low"))</f>
        <v>Medium</v>
      </c>
      <c r="O220">
        <f>Table1[[#This Row],[TotalSales]]/Table1[[#This Row],[Quantity]]</f>
        <v>20416.78</v>
      </c>
    </row>
    <row r="221" spans="1:15" x14ac:dyDescent="0.35">
      <c r="A221" t="s">
        <v>279</v>
      </c>
      <c r="B221" s="1">
        <v>45304</v>
      </c>
      <c r="C221" t="s">
        <v>46</v>
      </c>
      <c r="D221" t="s">
        <v>79</v>
      </c>
      <c r="E221" t="s">
        <v>22</v>
      </c>
      <c r="F221" t="s">
        <v>42</v>
      </c>
      <c r="G221" t="s">
        <v>66</v>
      </c>
      <c r="H221">
        <v>4</v>
      </c>
      <c r="I221">
        <v>29876.68</v>
      </c>
      <c r="J221" s="2">
        <v>0.15</v>
      </c>
      <c r="K221" t="s">
        <v>44</v>
      </c>
      <c r="L221">
        <f>(Table1[[#This Row],[Quantity]]*Table1[[#This Row],[UnitPrice]])-(Table1[[#This Row],[Quantity]]*Table1[[#This Row],[UnitPrice]])*Table1[[#This Row],[Discount%]]</f>
        <v>101580.712</v>
      </c>
      <c r="M221" t="str">
        <f>TEXT(Table1[[#This Row],[OrderDate]], "mmm")</f>
        <v>Jan</v>
      </c>
      <c r="N221" t="str">
        <f>IF(Table1[[#This Row],[TotalSales]]&gt;50000,"High",IF(L221&gt;20000,"Medium","Low"))</f>
        <v>High</v>
      </c>
      <c r="O221">
        <f>Table1[[#This Row],[TotalSales]]/Table1[[#This Row],[Quantity]]</f>
        <v>25395.178</v>
      </c>
    </row>
    <row r="222" spans="1:15" x14ac:dyDescent="0.35">
      <c r="A222" t="s">
        <v>280</v>
      </c>
      <c r="B222" s="1">
        <v>45543</v>
      </c>
      <c r="C222" t="s">
        <v>20</v>
      </c>
      <c r="D222" t="s">
        <v>97</v>
      </c>
      <c r="E222" t="s">
        <v>15</v>
      </c>
      <c r="F222" t="s">
        <v>59</v>
      </c>
      <c r="G222" t="s">
        <v>66</v>
      </c>
      <c r="H222">
        <v>1</v>
      </c>
      <c r="I222">
        <v>53496.25</v>
      </c>
      <c r="J222" s="2">
        <v>0</v>
      </c>
      <c r="K222" t="s">
        <v>44</v>
      </c>
      <c r="L222">
        <v>53496.25</v>
      </c>
      <c r="M222" t="str">
        <f>TEXT(Table1[[#This Row],[OrderDate]], "mmm")</f>
        <v>Sep</v>
      </c>
      <c r="N222" t="str">
        <f>IF(Table1[[#This Row],[TotalSales]]&gt;50000,"High",IF(L222&gt;20000,"Medium","Low"))</f>
        <v>High</v>
      </c>
      <c r="O222">
        <f>Table1[[#This Row],[TotalSales]]/Table1[[#This Row],[Quantity]]</f>
        <v>53496.25</v>
      </c>
    </row>
    <row r="223" spans="1:15" x14ac:dyDescent="0.35">
      <c r="A223" t="s">
        <v>281</v>
      </c>
      <c r="B223" s="1">
        <v>45360</v>
      </c>
      <c r="C223" t="s">
        <v>46</v>
      </c>
      <c r="D223" t="s">
        <v>71</v>
      </c>
      <c r="E223" t="s">
        <v>34</v>
      </c>
      <c r="F223" t="s">
        <v>35</v>
      </c>
      <c r="G223" t="s">
        <v>49</v>
      </c>
      <c r="H223">
        <v>11</v>
      </c>
      <c r="I223">
        <v>45133.97</v>
      </c>
      <c r="J223" s="2">
        <v>0</v>
      </c>
      <c r="K223" t="s">
        <v>44</v>
      </c>
      <c r="L223">
        <v>496473.67</v>
      </c>
      <c r="M223" t="str">
        <f>TEXT(Table1[[#This Row],[OrderDate]], "mmm")</f>
        <v>Mar</v>
      </c>
      <c r="N223" t="str">
        <f>IF(Table1[[#This Row],[TotalSales]]&gt;50000,"High",IF(L223&gt;20000,"Medium","Low"))</f>
        <v>High</v>
      </c>
      <c r="O223">
        <f>Table1[[#This Row],[TotalSales]]/Table1[[#This Row],[Quantity]]</f>
        <v>45133.97</v>
      </c>
    </row>
    <row r="224" spans="1:15" x14ac:dyDescent="0.35">
      <c r="A224" t="s">
        <v>282</v>
      </c>
      <c r="B224" s="1">
        <v>45523</v>
      </c>
      <c r="C224" t="s">
        <v>13</v>
      </c>
      <c r="D224" t="s">
        <v>37</v>
      </c>
      <c r="E224" t="s">
        <v>28</v>
      </c>
      <c r="F224" t="s">
        <v>104</v>
      </c>
      <c r="G224" t="s">
        <v>30</v>
      </c>
      <c r="H224">
        <v>5</v>
      </c>
      <c r="I224">
        <v>13001.9</v>
      </c>
      <c r="J224" s="2">
        <v>0</v>
      </c>
      <c r="K224" t="s">
        <v>25</v>
      </c>
      <c r="L224">
        <v>65009.5</v>
      </c>
      <c r="M224" t="str">
        <f>TEXT(Table1[[#This Row],[OrderDate]], "mmm")</f>
        <v>Aug</v>
      </c>
      <c r="N224" t="str">
        <f>IF(Table1[[#This Row],[TotalSales]]&gt;50000,"High",IF(L224&gt;20000,"Medium","Low"))</f>
        <v>High</v>
      </c>
      <c r="O224">
        <f>Table1[[#This Row],[TotalSales]]/Table1[[#This Row],[Quantity]]</f>
        <v>13001.9</v>
      </c>
    </row>
    <row r="225" spans="1:15" x14ac:dyDescent="0.35">
      <c r="A225" t="s">
        <v>283</v>
      </c>
      <c r="B225" s="1">
        <v>45475</v>
      </c>
      <c r="C225" t="s">
        <v>46</v>
      </c>
      <c r="D225" t="s">
        <v>71</v>
      </c>
      <c r="E225" t="s">
        <v>28</v>
      </c>
      <c r="F225" t="s">
        <v>104</v>
      </c>
      <c r="G225" t="s">
        <v>49</v>
      </c>
      <c r="H225">
        <v>13</v>
      </c>
      <c r="I225">
        <v>11578.47</v>
      </c>
      <c r="J225" s="2">
        <v>0</v>
      </c>
      <c r="K225" t="s">
        <v>31</v>
      </c>
      <c r="L225">
        <v>150520.10999999999</v>
      </c>
      <c r="M225" t="str">
        <f>TEXT(Table1[[#This Row],[OrderDate]], "mmm")</f>
        <v>Jul</v>
      </c>
      <c r="N225" t="str">
        <f>IF(Table1[[#This Row],[TotalSales]]&gt;50000,"High",IF(L225&gt;20000,"Medium","Low"))</f>
        <v>High</v>
      </c>
      <c r="O225">
        <f>Table1[[#This Row],[TotalSales]]/Table1[[#This Row],[Quantity]]</f>
        <v>11578.47</v>
      </c>
    </row>
    <row r="226" spans="1:15" x14ac:dyDescent="0.35">
      <c r="A226" t="s">
        <v>284</v>
      </c>
      <c r="B226" s="1">
        <v>45656</v>
      </c>
      <c r="C226" t="s">
        <v>20</v>
      </c>
      <c r="D226" t="s">
        <v>27</v>
      </c>
      <c r="E226" t="s">
        <v>22</v>
      </c>
      <c r="F226" t="s">
        <v>52</v>
      </c>
      <c r="G226" t="s">
        <v>43</v>
      </c>
      <c r="H226">
        <v>4</v>
      </c>
      <c r="I226">
        <v>53268.32</v>
      </c>
      <c r="J226" s="2">
        <v>0.05</v>
      </c>
      <c r="K226" t="s">
        <v>25</v>
      </c>
      <c r="L226">
        <v>202419.62</v>
      </c>
      <c r="M226" t="str">
        <f>TEXT(Table1[[#This Row],[OrderDate]], "mmm")</f>
        <v>Dec</v>
      </c>
      <c r="N226" t="str">
        <f>IF(Table1[[#This Row],[TotalSales]]&gt;50000,"High",IF(L226&gt;20000,"Medium","Low"))</f>
        <v>High</v>
      </c>
      <c r="O226">
        <f>Table1[[#This Row],[TotalSales]]/Table1[[#This Row],[Quantity]]</f>
        <v>50604.904999999999</v>
      </c>
    </row>
    <row r="227" spans="1:15" x14ac:dyDescent="0.35">
      <c r="A227" t="s">
        <v>285</v>
      </c>
      <c r="B227" s="1">
        <v>45344</v>
      </c>
      <c r="C227" t="s">
        <v>46</v>
      </c>
      <c r="D227" t="s">
        <v>79</v>
      </c>
      <c r="E227" t="s">
        <v>34</v>
      </c>
      <c r="F227" t="s">
        <v>61</v>
      </c>
      <c r="G227" t="s">
        <v>66</v>
      </c>
      <c r="H227">
        <v>13</v>
      </c>
      <c r="I227">
        <v>43700.77</v>
      </c>
      <c r="J227" s="2">
        <v>0</v>
      </c>
      <c r="K227" t="s">
        <v>44</v>
      </c>
      <c r="L227">
        <v>568110.01</v>
      </c>
      <c r="M227" t="str">
        <f>TEXT(Table1[[#This Row],[OrderDate]], "mmm")</f>
        <v>Feb</v>
      </c>
      <c r="N227" t="str">
        <f>IF(Table1[[#This Row],[TotalSales]]&gt;50000,"High",IF(L227&gt;20000,"Medium","Low"))</f>
        <v>High</v>
      </c>
      <c r="O227">
        <f>Table1[[#This Row],[TotalSales]]/Table1[[#This Row],[Quantity]]</f>
        <v>43700.770000000004</v>
      </c>
    </row>
    <row r="228" spans="1:15" x14ac:dyDescent="0.35">
      <c r="A228" t="s">
        <v>286</v>
      </c>
      <c r="B228" s="1">
        <v>45325</v>
      </c>
      <c r="C228" t="s">
        <v>46</v>
      </c>
      <c r="D228" t="s">
        <v>47</v>
      </c>
      <c r="E228" t="s">
        <v>15</v>
      </c>
      <c r="F228" t="s">
        <v>56</v>
      </c>
      <c r="G228" t="s">
        <v>17</v>
      </c>
      <c r="H228">
        <v>4</v>
      </c>
      <c r="I228">
        <v>49656.79</v>
      </c>
      <c r="J228" s="2">
        <v>0.05</v>
      </c>
      <c r="K228" t="s">
        <v>31</v>
      </c>
      <c r="L228">
        <v>188695.8</v>
      </c>
      <c r="M228" t="str">
        <f>TEXT(Table1[[#This Row],[OrderDate]], "mmm")</f>
        <v>Feb</v>
      </c>
      <c r="N228" t="str">
        <f>IF(Table1[[#This Row],[TotalSales]]&gt;50000,"High",IF(L228&gt;20000,"Medium","Low"))</f>
        <v>High</v>
      </c>
      <c r="O228">
        <f>Table1[[#This Row],[TotalSales]]/Table1[[#This Row],[Quantity]]</f>
        <v>47173.95</v>
      </c>
    </row>
    <row r="229" spans="1:15" x14ac:dyDescent="0.35">
      <c r="A229" t="s">
        <v>287</v>
      </c>
      <c r="B229" s="1">
        <v>45513</v>
      </c>
      <c r="C229" t="s">
        <v>20</v>
      </c>
      <c r="D229" t="s">
        <v>21</v>
      </c>
      <c r="E229" t="s">
        <v>34</v>
      </c>
      <c r="F229" t="s">
        <v>35</v>
      </c>
      <c r="G229" t="s">
        <v>24</v>
      </c>
      <c r="H229">
        <v>14</v>
      </c>
      <c r="I229">
        <v>39898.81</v>
      </c>
      <c r="J229" s="2">
        <v>0.05</v>
      </c>
      <c r="K229" t="s">
        <v>44</v>
      </c>
      <c r="L229">
        <v>530654.17000000004</v>
      </c>
      <c r="M229" t="str">
        <f>TEXT(Table1[[#This Row],[OrderDate]], "mmm")</f>
        <v>Aug</v>
      </c>
      <c r="N229" t="str">
        <f>IF(Table1[[#This Row],[TotalSales]]&gt;50000,"High",IF(L229&gt;20000,"Medium","Low"))</f>
        <v>High</v>
      </c>
      <c r="O229">
        <f>Table1[[#This Row],[TotalSales]]/Table1[[#This Row],[Quantity]]</f>
        <v>37903.869285714289</v>
      </c>
    </row>
    <row r="230" spans="1:15" x14ac:dyDescent="0.35">
      <c r="A230" t="s">
        <v>288</v>
      </c>
      <c r="B230" s="1">
        <v>45606</v>
      </c>
      <c r="C230" t="s">
        <v>20</v>
      </c>
      <c r="D230" t="s">
        <v>27</v>
      </c>
      <c r="E230" t="s">
        <v>28</v>
      </c>
      <c r="F230" t="s">
        <v>104</v>
      </c>
      <c r="G230" t="s">
        <v>49</v>
      </c>
      <c r="H230">
        <v>10</v>
      </c>
      <c r="I230">
        <v>34010.35</v>
      </c>
      <c r="J230" s="2">
        <v>0.15</v>
      </c>
      <c r="K230" t="s">
        <v>25</v>
      </c>
      <c r="L230">
        <v>289087.96999999997</v>
      </c>
      <c r="M230" t="str">
        <f>TEXT(Table1[[#This Row],[OrderDate]], "mmm")</f>
        <v>Nov</v>
      </c>
      <c r="N230" t="str">
        <f>IF(Table1[[#This Row],[TotalSales]]&gt;50000,"High",IF(L230&gt;20000,"Medium","Low"))</f>
        <v>High</v>
      </c>
      <c r="O230">
        <f>Table1[[#This Row],[TotalSales]]/Table1[[#This Row],[Quantity]]</f>
        <v>28908.796999999999</v>
      </c>
    </row>
    <row r="231" spans="1:15" x14ac:dyDescent="0.35">
      <c r="A231" t="s">
        <v>289</v>
      </c>
      <c r="B231" s="1">
        <v>45561</v>
      </c>
      <c r="C231" t="s">
        <v>20</v>
      </c>
      <c r="D231" t="s">
        <v>21</v>
      </c>
      <c r="E231" t="s">
        <v>22</v>
      </c>
      <c r="F231" t="s">
        <v>82</v>
      </c>
      <c r="G231" t="s">
        <v>30</v>
      </c>
      <c r="H231">
        <v>4</v>
      </c>
      <c r="I231">
        <v>34765.339999999997</v>
      </c>
      <c r="J231" s="2">
        <v>0.2</v>
      </c>
      <c r="K231" t="s">
        <v>25</v>
      </c>
      <c r="L231">
        <v>111249.09</v>
      </c>
      <c r="M231" t="str">
        <f>TEXT(Table1[[#This Row],[OrderDate]], "mmm")</f>
        <v>Sep</v>
      </c>
      <c r="N231" t="str">
        <f>IF(Table1[[#This Row],[TotalSales]]&gt;50000,"High",IF(L231&gt;20000,"Medium","Low"))</f>
        <v>High</v>
      </c>
      <c r="O231">
        <f>Table1[[#This Row],[TotalSales]]/Table1[[#This Row],[Quantity]]</f>
        <v>27812.272499999999</v>
      </c>
    </row>
    <row r="232" spans="1:15" x14ac:dyDescent="0.35">
      <c r="A232" t="s">
        <v>290</v>
      </c>
      <c r="B232" s="1">
        <v>45384</v>
      </c>
      <c r="C232" t="s">
        <v>40</v>
      </c>
      <c r="D232" t="s">
        <v>41</v>
      </c>
      <c r="E232" t="s">
        <v>28</v>
      </c>
      <c r="F232" t="s">
        <v>29</v>
      </c>
      <c r="G232" t="s">
        <v>30</v>
      </c>
      <c r="H232">
        <v>1</v>
      </c>
      <c r="I232">
        <v>17674.490000000002</v>
      </c>
      <c r="J232" s="2">
        <v>0</v>
      </c>
      <c r="K232" t="s">
        <v>44</v>
      </c>
      <c r="L232">
        <v>17674.490000000002</v>
      </c>
      <c r="M232" t="str">
        <f>TEXT(Table1[[#This Row],[OrderDate]], "mmm")</f>
        <v>Apr</v>
      </c>
      <c r="N232" t="str">
        <f>IF(Table1[[#This Row],[TotalSales]]&gt;50000,"High",IF(L232&gt;20000,"Medium","Low"))</f>
        <v>Low</v>
      </c>
      <c r="O232">
        <f>Table1[[#This Row],[TotalSales]]/Table1[[#This Row],[Quantity]]</f>
        <v>17674.490000000002</v>
      </c>
    </row>
    <row r="233" spans="1:15" x14ac:dyDescent="0.35">
      <c r="A233" t="s">
        <v>291</v>
      </c>
      <c r="B233" s="1">
        <v>45628</v>
      </c>
      <c r="C233" t="s">
        <v>46</v>
      </c>
      <c r="D233" t="s">
        <v>47</v>
      </c>
      <c r="E233" t="s">
        <v>22</v>
      </c>
      <c r="F233" t="s">
        <v>42</v>
      </c>
      <c r="G233" t="s">
        <v>66</v>
      </c>
      <c r="H233">
        <v>4</v>
      </c>
      <c r="I233">
        <v>14805.68</v>
      </c>
      <c r="J233" s="2">
        <v>0.2</v>
      </c>
      <c r="K233" t="s">
        <v>44</v>
      </c>
      <c r="L233">
        <v>47378.18</v>
      </c>
      <c r="M233" t="str">
        <f>TEXT(Table1[[#This Row],[OrderDate]], "mmm")</f>
        <v>Dec</v>
      </c>
      <c r="N233" t="str">
        <f>IF(Table1[[#This Row],[TotalSales]]&gt;50000,"High",IF(L233&gt;20000,"Medium","Low"))</f>
        <v>Medium</v>
      </c>
      <c r="O233">
        <f>Table1[[#This Row],[TotalSales]]/Table1[[#This Row],[Quantity]]</f>
        <v>11844.545</v>
      </c>
    </row>
    <row r="234" spans="1:15" x14ac:dyDescent="0.35">
      <c r="A234" t="s">
        <v>292</v>
      </c>
      <c r="B234" s="1">
        <v>45454</v>
      </c>
      <c r="C234" t="s">
        <v>20</v>
      </c>
      <c r="D234" t="s">
        <v>21</v>
      </c>
      <c r="E234" t="s">
        <v>22</v>
      </c>
      <c r="F234" t="s">
        <v>42</v>
      </c>
      <c r="G234" t="s">
        <v>24</v>
      </c>
      <c r="H234">
        <v>13</v>
      </c>
      <c r="I234">
        <v>40648.160000000003</v>
      </c>
      <c r="J234" s="2">
        <v>0</v>
      </c>
      <c r="K234" t="s">
        <v>18</v>
      </c>
      <c r="L234">
        <v>528426.07999999996</v>
      </c>
      <c r="M234" t="str">
        <f>TEXT(Table1[[#This Row],[OrderDate]], "mmm")</f>
        <v>Jun</v>
      </c>
      <c r="N234" t="str">
        <f>IF(Table1[[#This Row],[TotalSales]]&gt;50000,"High",IF(L234&gt;20000,"Medium","Low"))</f>
        <v>High</v>
      </c>
      <c r="O234">
        <f>Table1[[#This Row],[TotalSales]]/Table1[[#This Row],[Quantity]]</f>
        <v>40648.159999999996</v>
      </c>
    </row>
    <row r="235" spans="1:15" x14ac:dyDescent="0.35">
      <c r="A235" t="s">
        <v>293</v>
      </c>
      <c r="B235" s="1">
        <v>45311</v>
      </c>
      <c r="C235" t="s">
        <v>20</v>
      </c>
      <c r="D235" t="s">
        <v>97</v>
      </c>
      <c r="E235" t="s">
        <v>34</v>
      </c>
      <c r="F235" t="s">
        <v>48</v>
      </c>
      <c r="G235" t="s">
        <v>69</v>
      </c>
      <c r="H235">
        <v>2</v>
      </c>
      <c r="I235">
        <v>3278.01</v>
      </c>
      <c r="J235" s="2">
        <v>0.1</v>
      </c>
      <c r="K235" t="s">
        <v>18</v>
      </c>
      <c r="L235">
        <v>5900.42</v>
      </c>
      <c r="M235" t="str">
        <f>TEXT(Table1[[#This Row],[OrderDate]], "mmm")</f>
        <v>Jan</v>
      </c>
      <c r="N235" t="str">
        <f>IF(Table1[[#This Row],[TotalSales]]&gt;50000,"High",IF(L235&gt;20000,"Medium","Low"))</f>
        <v>Low</v>
      </c>
      <c r="O235">
        <f>Table1[[#This Row],[TotalSales]]/Table1[[#This Row],[Quantity]]</f>
        <v>2950.21</v>
      </c>
    </row>
    <row r="236" spans="1:15" x14ac:dyDescent="0.35">
      <c r="A236" t="s">
        <v>294</v>
      </c>
      <c r="B236" s="1">
        <v>45303</v>
      </c>
      <c r="C236" t="s">
        <v>13</v>
      </c>
      <c r="D236" t="s">
        <v>14</v>
      </c>
      <c r="E236" t="s">
        <v>28</v>
      </c>
      <c r="F236" t="s">
        <v>125</v>
      </c>
      <c r="G236" t="s">
        <v>83</v>
      </c>
      <c r="H236">
        <v>3</v>
      </c>
      <c r="I236">
        <v>32346.18</v>
      </c>
      <c r="J236" s="2">
        <v>0</v>
      </c>
      <c r="K236" t="s">
        <v>25</v>
      </c>
      <c r="L236">
        <v>97038.54</v>
      </c>
      <c r="M236" t="str">
        <f>TEXT(Table1[[#This Row],[OrderDate]], "mmm")</f>
        <v>Jan</v>
      </c>
      <c r="N236" t="str">
        <f>IF(Table1[[#This Row],[TotalSales]]&gt;50000,"High",IF(L236&gt;20000,"Medium","Low"))</f>
        <v>High</v>
      </c>
      <c r="O236">
        <f>Table1[[#This Row],[TotalSales]]/Table1[[#This Row],[Quantity]]</f>
        <v>32346.179999999997</v>
      </c>
    </row>
    <row r="237" spans="1:15" x14ac:dyDescent="0.35">
      <c r="A237" t="s">
        <v>295</v>
      </c>
      <c r="B237" s="1">
        <v>45361</v>
      </c>
      <c r="C237" t="s">
        <v>13</v>
      </c>
      <c r="D237" t="s">
        <v>37</v>
      </c>
      <c r="E237" t="s">
        <v>15</v>
      </c>
      <c r="F237" t="s">
        <v>56</v>
      </c>
      <c r="G237" t="s">
        <v>83</v>
      </c>
      <c r="H237">
        <v>3</v>
      </c>
      <c r="I237">
        <v>40332.89</v>
      </c>
      <c r="J237" s="2">
        <v>0.05</v>
      </c>
      <c r="K237" t="s">
        <v>18</v>
      </c>
      <c r="L237">
        <v>114948.74</v>
      </c>
      <c r="M237" t="str">
        <f>TEXT(Table1[[#This Row],[OrderDate]], "mmm")</f>
        <v>Mar</v>
      </c>
      <c r="N237" t="str">
        <f>IF(Table1[[#This Row],[TotalSales]]&gt;50000,"High",IF(L237&gt;20000,"Medium","Low"))</f>
        <v>High</v>
      </c>
      <c r="O237">
        <f>Table1[[#This Row],[TotalSales]]/Table1[[#This Row],[Quantity]]</f>
        <v>38316.246666666666</v>
      </c>
    </row>
    <row r="238" spans="1:15" x14ac:dyDescent="0.35">
      <c r="A238" t="s">
        <v>296</v>
      </c>
      <c r="B238" s="1">
        <v>45644</v>
      </c>
      <c r="C238" t="s">
        <v>13</v>
      </c>
      <c r="D238" t="s">
        <v>33</v>
      </c>
      <c r="E238" t="s">
        <v>22</v>
      </c>
      <c r="F238" t="s">
        <v>82</v>
      </c>
      <c r="G238" t="s">
        <v>43</v>
      </c>
      <c r="H238">
        <v>5</v>
      </c>
      <c r="I238">
        <v>7178.69</v>
      </c>
      <c r="J238" s="2">
        <v>0.15</v>
      </c>
      <c r="K238" t="s">
        <v>18</v>
      </c>
      <c r="L238">
        <v>30509.43</v>
      </c>
      <c r="M238" t="str">
        <f>TEXT(Table1[[#This Row],[OrderDate]], "mmm")</f>
        <v>Dec</v>
      </c>
      <c r="N238" t="str">
        <f>IF(Table1[[#This Row],[TotalSales]]&gt;50000,"High",IF(L238&gt;20000,"Medium","Low"))</f>
        <v>Medium</v>
      </c>
      <c r="O238">
        <f>Table1[[#This Row],[TotalSales]]/Table1[[#This Row],[Quantity]]</f>
        <v>6101.8860000000004</v>
      </c>
    </row>
    <row r="239" spans="1:15" x14ac:dyDescent="0.35">
      <c r="A239" t="s">
        <v>297</v>
      </c>
      <c r="B239" s="1">
        <v>45364</v>
      </c>
      <c r="C239" t="s">
        <v>46</v>
      </c>
      <c r="D239" t="s">
        <v>79</v>
      </c>
      <c r="E239" t="s">
        <v>28</v>
      </c>
      <c r="F239" t="s">
        <v>125</v>
      </c>
      <c r="G239" t="s">
        <v>83</v>
      </c>
      <c r="H239">
        <v>6</v>
      </c>
      <c r="I239">
        <v>41044.81</v>
      </c>
      <c r="J239" s="2">
        <v>0</v>
      </c>
      <c r="K239" t="s">
        <v>25</v>
      </c>
      <c r="L239">
        <v>246268.86</v>
      </c>
      <c r="M239" t="str">
        <f>TEXT(Table1[[#This Row],[OrderDate]], "mmm")</f>
        <v>Mar</v>
      </c>
      <c r="N239" t="str">
        <f>IF(Table1[[#This Row],[TotalSales]]&gt;50000,"High",IF(L239&gt;20000,"Medium","Low"))</f>
        <v>High</v>
      </c>
      <c r="O239">
        <f>Table1[[#This Row],[TotalSales]]/Table1[[#This Row],[Quantity]]</f>
        <v>41044.81</v>
      </c>
    </row>
    <row r="240" spans="1:15" x14ac:dyDescent="0.35">
      <c r="A240" t="s">
        <v>298</v>
      </c>
      <c r="B240" s="1">
        <v>45646</v>
      </c>
      <c r="C240" t="s">
        <v>20</v>
      </c>
      <c r="D240" t="s">
        <v>27</v>
      </c>
      <c r="E240" t="s">
        <v>15</v>
      </c>
      <c r="F240" t="s">
        <v>56</v>
      </c>
      <c r="G240" t="s">
        <v>24</v>
      </c>
      <c r="H240">
        <v>2</v>
      </c>
      <c r="I240">
        <v>19406.37</v>
      </c>
      <c r="J240" s="2">
        <v>0.2</v>
      </c>
      <c r="K240" t="s">
        <v>25</v>
      </c>
      <c r="L240">
        <v>31050.19</v>
      </c>
      <c r="M240" t="str">
        <f>TEXT(Table1[[#This Row],[OrderDate]], "mmm")</f>
        <v>Dec</v>
      </c>
      <c r="N240" t="str">
        <f>IF(Table1[[#This Row],[TotalSales]]&gt;50000,"High",IF(L240&gt;20000,"Medium","Low"))</f>
        <v>Medium</v>
      </c>
      <c r="O240">
        <f>Table1[[#This Row],[TotalSales]]/Table1[[#This Row],[Quantity]]</f>
        <v>15525.094999999999</v>
      </c>
    </row>
    <row r="241" spans="1:15" x14ac:dyDescent="0.35">
      <c r="A241" t="s">
        <v>299</v>
      </c>
      <c r="B241" s="1">
        <v>45484</v>
      </c>
      <c r="C241" t="s">
        <v>13</v>
      </c>
      <c r="D241" t="s">
        <v>33</v>
      </c>
      <c r="E241" t="s">
        <v>34</v>
      </c>
      <c r="F241" t="s">
        <v>88</v>
      </c>
      <c r="G241" t="s">
        <v>17</v>
      </c>
      <c r="H241">
        <v>2</v>
      </c>
      <c r="I241">
        <v>45618.62</v>
      </c>
      <c r="J241" s="2">
        <v>0.2</v>
      </c>
      <c r="K241" t="s">
        <v>31</v>
      </c>
      <c r="L241">
        <v>72989.789999999994</v>
      </c>
      <c r="M241" t="str">
        <f>TEXT(Table1[[#This Row],[OrderDate]], "mmm")</f>
        <v>Jul</v>
      </c>
      <c r="N241" t="str">
        <f>IF(Table1[[#This Row],[TotalSales]]&gt;50000,"High",IF(L241&gt;20000,"Medium","Low"))</f>
        <v>High</v>
      </c>
      <c r="O241">
        <f>Table1[[#This Row],[TotalSales]]/Table1[[#This Row],[Quantity]]</f>
        <v>36494.894999999997</v>
      </c>
    </row>
    <row r="242" spans="1:15" x14ac:dyDescent="0.35">
      <c r="A242" t="s">
        <v>300</v>
      </c>
      <c r="B242" s="1">
        <v>45345</v>
      </c>
      <c r="C242" t="s">
        <v>13</v>
      </c>
      <c r="D242" t="s">
        <v>37</v>
      </c>
      <c r="E242" t="s">
        <v>28</v>
      </c>
      <c r="F242" t="s">
        <v>76</v>
      </c>
      <c r="G242" t="s">
        <v>83</v>
      </c>
      <c r="H242">
        <v>2</v>
      </c>
      <c r="I242">
        <v>18931.09</v>
      </c>
      <c r="J242" s="2">
        <v>0.05</v>
      </c>
      <c r="K242" t="s">
        <v>25</v>
      </c>
      <c r="L242">
        <v>35969.07</v>
      </c>
      <c r="M242" t="str">
        <f>TEXT(Table1[[#This Row],[OrderDate]], "mmm")</f>
        <v>Feb</v>
      </c>
      <c r="N242" t="str">
        <f>IF(Table1[[#This Row],[TotalSales]]&gt;50000,"High",IF(L242&gt;20000,"Medium","Low"))</f>
        <v>Medium</v>
      </c>
      <c r="O242">
        <f>Table1[[#This Row],[TotalSales]]/Table1[[#This Row],[Quantity]]</f>
        <v>17984.535</v>
      </c>
    </row>
    <row r="243" spans="1:15" x14ac:dyDescent="0.35">
      <c r="A243" t="s">
        <v>301</v>
      </c>
      <c r="B243" s="1">
        <v>45514</v>
      </c>
      <c r="C243" t="s">
        <v>20</v>
      </c>
      <c r="D243" t="s">
        <v>21</v>
      </c>
      <c r="E243" t="s">
        <v>15</v>
      </c>
      <c r="F243" t="s">
        <v>38</v>
      </c>
      <c r="G243" t="s">
        <v>49</v>
      </c>
      <c r="H243">
        <v>3</v>
      </c>
      <c r="I243">
        <v>3134.85</v>
      </c>
      <c r="J243" s="2">
        <v>0</v>
      </c>
      <c r="K243" t="s">
        <v>44</v>
      </c>
      <c r="L243">
        <v>9404.5499999999993</v>
      </c>
      <c r="M243" t="str">
        <f>TEXT(Table1[[#This Row],[OrderDate]], "mmm")</f>
        <v>Aug</v>
      </c>
      <c r="N243" t="str">
        <f>IF(Table1[[#This Row],[TotalSales]]&gt;50000,"High",IF(L243&gt;20000,"Medium","Low"))</f>
        <v>Low</v>
      </c>
      <c r="O243">
        <f>Table1[[#This Row],[TotalSales]]/Table1[[#This Row],[Quantity]]</f>
        <v>3134.85</v>
      </c>
    </row>
    <row r="244" spans="1:15" x14ac:dyDescent="0.35">
      <c r="A244" t="s">
        <v>302</v>
      </c>
      <c r="B244" s="1">
        <v>45493</v>
      </c>
      <c r="C244" t="s">
        <v>46</v>
      </c>
      <c r="D244" t="s">
        <v>47</v>
      </c>
      <c r="E244" t="s">
        <v>28</v>
      </c>
      <c r="F244" t="s">
        <v>125</v>
      </c>
      <c r="G244" t="s">
        <v>30</v>
      </c>
      <c r="H244">
        <v>10</v>
      </c>
      <c r="I244">
        <v>30321.51</v>
      </c>
      <c r="J244" s="2">
        <v>0.05</v>
      </c>
      <c r="K244" t="s">
        <v>18</v>
      </c>
      <c r="L244">
        <v>288054.34000000003</v>
      </c>
      <c r="M244" t="str">
        <f>TEXT(Table1[[#This Row],[OrderDate]], "mmm")</f>
        <v>Jul</v>
      </c>
      <c r="N244" t="str">
        <f>IF(Table1[[#This Row],[TotalSales]]&gt;50000,"High",IF(L244&gt;20000,"Medium","Low"))</f>
        <v>High</v>
      </c>
      <c r="O244">
        <f>Table1[[#This Row],[TotalSales]]/Table1[[#This Row],[Quantity]]</f>
        <v>28805.434000000001</v>
      </c>
    </row>
    <row r="245" spans="1:15" x14ac:dyDescent="0.35">
      <c r="A245" t="s">
        <v>303</v>
      </c>
      <c r="B245" s="1">
        <v>45618</v>
      </c>
      <c r="C245" t="s">
        <v>20</v>
      </c>
      <c r="D245" t="s">
        <v>27</v>
      </c>
      <c r="E245" t="s">
        <v>15</v>
      </c>
      <c r="F245" t="s">
        <v>16</v>
      </c>
      <c r="G245" t="s">
        <v>49</v>
      </c>
      <c r="H245">
        <v>5</v>
      </c>
      <c r="I245">
        <v>53742.76</v>
      </c>
      <c r="J245" s="2">
        <v>0.05</v>
      </c>
      <c r="K245" t="s">
        <v>31</v>
      </c>
      <c r="L245">
        <v>255278.11</v>
      </c>
      <c r="M245" t="str">
        <f>TEXT(Table1[[#This Row],[OrderDate]], "mmm")</f>
        <v>Nov</v>
      </c>
      <c r="N245" t="str">
        <f>IF(Table1[[#This Row],[TotalSales]]&gt;50000,"High",IF(L245&gt;20000,"Medium","Low"))</f>
        <v>High</v>
      </c>
      <c r="O245">
        <f>Table1[[#This Row],[TotalSales]]/Table1[[#This Row],[Quantity]]</f>
        <v>51055.621999999996</v>
      </c>
    </row>
    <row r="246" spans="1:15" x14ac:dyDescent="0.35">
      <c r="A246" t="s">
        <v>304</v>
      </c>
      <c r="B246" s="1">
        <v>45481</v>
      </c>
      <c r="C246" t="s">
        <v>13</v>
      </c>
      <c r="D246" t="s">
        <v>37</v>
      </c>
      <c r="E246" t="s">
        <v>34</v>
      </c>
      <c r="F246" t="s">
        <v>61</v>
      </c>
      <c r="G246" t="s">
        <v>24</v>
      </c>
      <c r="H246">
        <v>3</v>
      </c>
      <c r="I246">
        <v>24628.48</v>
      </c>
      <c r="J246" s="2">
        <v>0</v>
      </c>
      <c r="K246" t="s">
        <v>31</v>
      </c>
      <c r="L246">
        <v>73885.440000000002</v>
      </c>
      <c r="M246" t="str">
        <f>TEXT(Table1[[#This Row],[OrderDate]], "mmm")</f>
        <v>Jul</v>
      </c>
      <c r="N246" t="str">
        <f>IF(Table1[[#This Row],[TotalSales]]&gt;50000,"High",IF(L246&gt;20000,"Medium","Low"))</f>
        <v>High</v>
      </c>
      <c r="O246">
        <f>Table1[[#This Row],[TotalSales]]/Table1[[#This Row],[Quantity]]</f>
        <v>24628.48</v>
      </c>
    </row>
    <row r="247" spans="1:15" x14ac:dyDescent="0.35">
      <c r="A247" t="s">
        <v>305</v>
      </c>
      <c r="B247" s="1">
        <v>45408</v>
      </c>
      <c r="C247" t="s">
        <v>40</v>
      </c>
      <c r="D247" t="s">
        <v>51</v>
      </c>
      <c r="E247" t="s">
        <v>15</v>
      </c>
      <c r="F247" t="s">
        <v>56</v>
      </c>
      <c r="G247" t="s">
        <v>30</v>
      </c>
      <c r="H247">
        <v>9</v>
      </c>
      <c r="I247">
        <v>3541.91</v>
      </c>
      <c r="J247" s="2">
        <v>0.05</v>
      </c>
      <c r="K247" t="s">
        <v>18</v>
      </c>
      <c r="L247">
        <v>30283.33</v>
      </c>
      <c r="M247" t="str">
        <f>TEXT(Table1[[#This Row],[OrderDate]], "mmm")</f>
        <v>Apr</v>
      </c>
      <c r="N247" t="str">
        <f>IF(Table1[[#This Row],[TotalSales]]&gt;50000,"High",IF(L247&gt;20000,"Medium","Low"))</f>
        <v>Medium</v>
      </c>
      <c r="O247">
        <f>Table1[[#This Row],[TotalSales]]/Table1[[#This Row],[Quantity]]</f>
        <v>3364.8144444444447</v>
      </c>
    </row>
    <row r="248" spans="1:15" x14ac:dyDescent="0.35">
      <c r="A248" t="s">
        <v>306</v>
      </c>
      <c r="B248" s="1">
        <v>45657</v>
      </c>
      <c r="C248" t="s">
        <v>46</v>
      </c>
      <c r="D248" t="s">
        <v>79</v>
      </c>
      <c r="E248" t="s">
        <v>34</v>
      </c>
      <c r="F248" t="s">
        <v>48</v>
      </c>
      <c r="G248" t="s">
        <v>30</v>
      </c>
      <c r="H248">
        <v>1</v>
      </c>
      <c r="I248">
        <v>27715.16</v>
      </c>
      <c r="J248" s="2">
        <v>0.1</v>
      </c>
      <c r="K248" t="s">
        <v>18</v>
      </c>
      <c r="L248">
        <v>24943.64</v>
      </c>
      <c r="M248" t="str">
        <f>TEXT(Table1[[#This Row],[OrderDate]], "mmm")</f>
        <v>Dec</v>
      </c>
      <c r="N248" t="str">
        <f>IF(Table1[[#This Row],[TotalSales]]&gt;50000,"High",IF(L248&gt;20000,"Medium","Low"))</f>
        <v>Medium</v>
      </c>
      <c r="O248">
        <f>Table1[[#This Row],[TotalSales]]/Table1[[#This Row],[Quantity]]</f>
        <v>24943.64</v>
      </c>
    </row>
    <row r="249" spans="1:15" x14ac:dyDescent="0.35">
      <c r="A249" t="s">
        <v>307</v>
      </c>
      <c r="B249" s="1">
        <v>45313</v>
      </c>
      <c r="C249" t="s">
        <v>20</v>
      </c>
      <c r="D249" t="s">
        <v>27</v>
      </c>
      <c r="E249" t="s">
        <v>22</v>
      </c>
      <c r="F249" t="s">
        <v>42</v>
      </c>
      <c r="G249" t="s">
        <v>49</v>
      </c>
      <c r="H249">
        <v>7</v>
      </c>
      <c r="I249">
        <v>4494.6000000000004</v>
      </c>
      <c r="J249" s="2">
        <v>0.15</v>
      </c>
      <c r="K249" t="s">
        <v>44</v>
      </c>
      <c r="L249">
        <v>26742.87</v>
      </c>
      <c r="M249" t="str">
        <f>TEXT(Table1[[#This Row],[OrderDate]], "mmm")</f>
        <v>Jan</v>
      </c>
      <c r="N249" t="str">
        <f>IF(Table1[[#This Row],[TotalSales]]&gt;50000,"High",IF(L249&gt;20000,"Medium","Low"))</f>
        <v>Medium</v>
      </c>
      <c r="O249">
        <f>Table1[[#This Row],[TotalSales]]/Table1[[#This Row],[Quantity]]</f>
        <v>3820.41</v>
      </c>
    </row>
    <row r="250" spans="1:15" x14ac:dyDescent="0.35">
      <c r="A250" t="s">
        <v>308</v>
      </c>
      <c r="B250" s="1">
        <v>45495</v>
      </c>
      <c r="C250" t="s">
        <v>40</v>
      </c>
      <c r="D250" t="s">
        <v>51</v>
      </c>
      <c r="E250" t="s">
        <v>15</v>
      </c>
      <c r="F250" t="s">
        <v>16</v>
      </c>
      <c r="G250" t="s">
        <v>66</v>
      </c>
      <c r="H250">
        <v>9</v>
      </c>
      <c r="I250">
        <v>18071.75</v>
      </c>
      <c r="J250" s="2">
        <v>0</v>
      </c>
      <c r="K250" t="s">
        <v>31</v>
      </c>
      <c r="L250">
        <v>162645.75</v>
      </c>
      <c r="M250" t="str">
        <f>TEXT(Table1[[#This Row],[OrderDate]], "mmm")</f>
        <v>Jul</v>
      </c>
      <c r="N250" t="str">
        <f>IF(Table1[[#This Row],[TotalSales]]&gt;50000,"High",IF(L250&gt;20000,"Medium","Low"))</f>
        <v>High</v>
      </c>
      <c r="O250">
        <f>Table1[[#This Row],[TotalSales]]/Table1[[#This Row],[Quantity]]</f>
        <v>18071.75</v>
      </c>
    </row>
    <row r="251" spans="1:15" x14ac:dyDescent="0.35">
      <c r="A251" t="s">
        <v>309</v>
      </c>
      <c r="B251" s="1">
        <v>45593</v>
      </c>
      <c r="C251" t="s">
        <v>20</v>
      </c>
      <c r="D251" t="s">
        <v>21</v>
      </c>
      <c r="E251" t="s">
        <v>34</v>
      </c>
      <c r="F251" t="s">
        <v>61</v>
      </c>
      <c r="G251" t="s">
        <v>83</v>
      </c>
      <c r="H251">
        <v>10</v>
      </c>
      <c r="I251">
        <v>41759.08</v>
      </c>
      <c r="J251" s="2">
        <v>0</v>
      </c>
      <c r="K251" t="s">
        <v>25</v>
      </c>
      <c r="L251">
        <v>417590.8</v>
      </c>
      <c r="M251" t="str">
        <f>TEXT(Table1[[#This Row],[OrderDate]], "mmm")</f>
        <v>Oct</v>
      </c>
      <c r="N251" t="str">
        <f>IF(Table1[[#This Row],[TotalSales]]&gt;50000,"High",IF(L251&gt;20000,"Medium","Low"))</f>
        <v>High</v>
      </c>
      <c r="O251">
        <f>Table1[[#This Row],[TotalSales]]/Table1[[#This Row],[Quantity]]</f>
        <v>41759.08</v>
      </c>
    </row>
    <row r="252" spans="1:15" x14ac:dyDescent="0.35">
      <c r="A252" t="s">
        <v>310</v>
      </c>
      <c r="B252" s="1">
        <v>45603</v>
      </c>
      <c r="C252" t="s">
        <v>40</v>
      </c>
      <c r="D252" t="s">
        <v>51</v>
      </c>
      <c r="E252" t="s">
        <v>28</v>
      </c>
      <c r="F252" t="s">
        <v>104</v>
      </c>
      <c r="G252" t="s">
        <v>66</v>
      </c>
      <c r="H252">
        <v>8</v>
      </c>
      <c r="I252">
        <v>2253.12</v>
      </c>
      <c r="J252" s="2">
        <v>0</v>
      </c>
      <c r="K252" t="s">
        <v>44</v>
      </c>
      <c r="L252">
        <v>18024.96</v>
      </c>
      <c r="M252" t="str">
        <f>TEXT(Table1[[#This Row],[OrderDate]], "mmm")</f>
        <v>Nov</v>
      </c>
      <c r="N252" t="str">
        <f>IF(Table1[[#This Row],[TotalSales]]&gt;50000,"High",IF(L252&gt;20000,"Medium","Low"))</f>
        <v>Low</v>
      </c>
      <c r="O252">
        <f>Table1[[#This Row],[TotalSales]]/Table1[[#This Row],[Quantity]]</f>
        <v>2253.12</v>
      </c>
    </row>
    <row r="253" spans="1:15" x14ac:dyDescent="0.35">
      <c r="A253" t="s">
        <v>311</v>
      </c>
      <c r="B253" s="1">
        <v>45482</v>
      </c>
      <c r="C253" t="s">
        <v>40</v>
      </c>
      <c r="D253" t="s">
        <v>41</v>
      </c>
      <c r="E253" t="s">
        <v>22</v>
      </c>
      <c r="F253" t="s">
        <v>23</v>
      </c>
      <c r="G253" t="s">
        <v>17</v>
      </c>
      <c r="H253">
        <v>1</v>
      </c>
      <c r="I253">
        <v>18715.060000000001</v>
      </c>
      <c r="J253" s="2">
        <v>0.2</v>
      </c>
      <c r="K253" t="s">
        <v>18</v>
      </c>
      <c r="L253">
        <v>14972.05</v>
      </c>
      <c r="M253" t="str">
        <f>TEXT(Table1[[#This Row],[OrderDate]], "mmm")</f>
        <v>Jul</v>
      </c>
      <c r="N253" t="str">
        <f>IF(Table1[[#This Row],[TotalSales]]&gt;50000,"High",IF(L253&gt;20000,"Medium","Low"))</f>
        <v>Low</v>
      </c>
      <c r="O253">
        <f>Table1[[#This Row],[TotalSales]]/Table1[[#This Row],[Quantity]]</f>
        <v>14972.05</v>
      </c>
    </row>
    <row r="254" spans="1:15" x14ac:dyDescent="0.35">
      <c r="A254" t="s">
        <v>312</v>
      </c>
      <c r="B254" s="1">
        <v>45429</v>
      </c>
      <c r="C254" t="s">
        <v>40</v>
      </c>
      <c r="D254" t="s">
        <v>41</v>
      </c>
      <c r="E254" t="s">
        <v>22</v>
      </c>
      <c r="F254" t="s">
        <v>52</v>
      </c>
      <c r="G254" t="s">
        <v>30</v>
      </c>
      <c r="H254">
        <v>12</v>
      </c>
      <c r="I254">
        <v>23039.15</v>
      </c>
      <c r="J254" s="2">
        <v>0.15</v>
      </c>
      <c r="K254" t="s">
        <v>44</v>
      </c>
      <c r="L254">
        <v>234999.33</v>
      </c>
      <c r="M254" t="str">
        <f>TEXT(Table1[[#This Row],[OrderDate]], "mmm")</f>
        <v>May</v>
      </c>
      <c r="N254" t="str">
        <f>IF(Table1[[#This Row],[TotalSales]]&gt;50000,"High",IF(L254&gt;20000,"Medium","Low"))</f>
        <v>High</v>
      </c>
      <c r="O254">
        <f>Table1[[#This Row],[TotalSales]]/Table1[[#This Row],[Quantity]]</f>
        <v>19583.2775</v>
      </c>
    </row>
    <row r="255" spans="1:15" x14ac:dyDescent="0.35">
      <c r="A255" t="s">
        <v>313</v>
      </c>
      <c r="B255" s="1">
        <v>45655</v>
      </c>
      <c r="C255" t="s">
        <v>46</v>
      </c>
      <c r="D255" t="s">
        <v>79</v>
      </c>
      <c r="E255" t="s">
        <v>15</v>
      </c>
      <c r="F255" t="s">
        <v>59</v>
      </c>
      <c r="G255" t="s">
        <v>69</v>
      </c>
      <c r="H255">
        <v>9</v>
      </c>
      <c r="I255">
        <v>22305.51</v>
      </c>
      <c r="J255" s="2">
        <v>0.2</v>
      </c>
      <c r="K255" t="s">
        <v>31</v>
      </c>
      <c r="L255">
        <v>160599.67000000001</v>
      </c>
      <c r="M255" t="str">
        <f>TEXT(Table1[[#This Row],[OrderDate]], "mmm")</f>
        <v>Dec</v>
      </c>
      <c r="N255" t="str">
        <f>IF(Table1[[#This Row],[TotalSales]]&gt;50000,"High",IF(L255&gt;20000,"Medium","Low"))</f>
        <v>High</v>
      </c>
      <c r="O255">
        <f>Table1[[#This Row],[TotalSales]]/Table1[[#This Row],[Quantity]]</f>
        <v>17844.407777777778</v>
      </c>
    </row>
    <row r="256" spans="1:15" x14ac:dyDescent="0.35">
      <c r="A256" t="s">
        <v>314</v>
      </c>
      <c r="B256" s="1">
        <v>45476</v>
      </c>
      <c r="C256" t="s">
        <v>40</v>
      </c>
      <c r="D256" t="s">
        <v>55</v>
      </c>
      <c r="E256" t="s">
        <v>22</v>
      </c>
      <c r="F256" t="s">
        <v>23</v>
      </c>
      <c r="G256" t="s">
        <v>43</v>
      </c>
      <c r="H256">
        <v>12</v>
      </c>
      <c r="I256">
        <v>11111.22</v>
      </c>
      <c r="J256" s="2">
        <v>0</v>
      </c>
      <c r="K256" t="s">
        <v>18</v>
      </c>
      <c r="L256">
        <v>133334.64000000001</v>
      </c>
      <c r="M256" t="str">
        <f>TEXT(Table1[[#This Row],[OrderDate]], "mmm")</f>
        <v>Jul</v>
      </c>
      <c r="N256" t="str">
        <f>IF(Table1[[#This Row],[TotalSales]]&gt;50000,"High",IF(L256&gt;20000,"Medium","Low"))</f>
        <v>High</v>
      </c>
      <c r="O256">
        <f>Table1[[#This Row],[TotalSales]]/Table1[[#This Row],[Quantity]]</f>
        <v>11111.220000000001</v>
      </c>
    </row>
    <row r="257" spans="1:15" x14ac:dyDescent="0.35">
      <c r="A257" t="s">
        <v>315</v>
      </c>
      <c r="B257" s="1">
        <v>45534</v>
      </c>
      <c r="C257" t="s">
        <v>40</v>
      </c>
      <c r="D257" t="s">
        <v>55</v>
      </c>
      <c r="E257" t="s">
        <v>28</v>
      </c>
      <c r="F257" t="s">
        <v>104</v>
      </c>
      <c r="G257" t="s">
        <v>49</v>
      </c>
      <c r="H257">
        <v>10</v>
      </c>
      <c r="I257">
        <v>30413.09</v>
      </c>
      <c r="J257" s="2">
        <v>0</v>
      </c>
      <c r="K257" t="s">
        <v>31</v>
      </c>
      <c r="L257">
        <v>304130.90000000002</v>
      </c>
      <c r="M257" t="str">
        <f>TEXT(Table1[[#This Row],[OrderDate]], "mmm")</f>
        <v>Aug</v>
      </c>
      <c r="N257" t="str">
        <f>IF(Table1[[#This Row],[TotalSales]]&gt;50000,"High",IF(L257&gt;20000,"Medium","Low"))</f>
        <v>High</v>
      </c>
      <c r="O257">
        <f>Table1[[#This Row],[TotalSales]]/Table1[[#This Row],[Quantity]]</f>
        <v>30413.090000000004</v>
      </c>
    </row>
    <row r="258" spans="1:15" x14ac:dyDescent="0.35">
      <c r="A258" t="s">
        <v>316</v>
      </c>
      <c r="B258" s="1">
        <v>45401</v>
      </c>
      <c r="C258" t="s">
        <v>20</v>
      </c>
      <c r="D258" t="s">
        <v>21</v>
      </c>
      <c r="E258" t="s">
        <v>34</v>
      </c>
      <c r="F258" t="s">
        <v>35</v>
      </c>
      <c r="G258" t="s">
        <v>43</v>
      </c>
      <c r="H258">
        <v>14</v>
      </c>
      <c r="I258">
        <v>12330.04</v>
      </c>
      <c r="J258" s="2">
        <v>0</v>
      </c>
      <c r="K258" t="s">
        <v>25</v>
      </c>
      <c r="L258">
        <f>(Table1[[#This Row],[Quantity]]*Table1[[#This Row],[UnitPrice]])-(Table1[[#This Row],[Quantity]]*Table1[[#This Row],[UnitPrice]])*Table1[[#This Row],[Discount%]]</f>
        <v>172620.56</v>
      </c>
      <c r="M258" t="str">
        <f>TEXT(Table1[[#This Row],[OrderDate]], "mmm")</f>
        <v>Apr</v>
      </c>
      <c r="N258" t="str">
        <f>IF(Table1[[#This Row],[TotalSales]]&gt;50000,"High",IF(L258&gt;20000,"Medium","Low"))</f>
        <v>High</v>
      </c>
      <c r="O258">
        <f>Table1[[#This Row],[TotalSales]]/Table1[[#This Row],[Quantity]]</f>
        <v>12330.039999999999</v>
      </c>
    </row>
    <row r="259" spans="1:15" x14ac:dyDescent="0.35">
      <c r="A259" t="s">
        <v>317</v>
      </c>
      <c r="B259" s="1">
        <v>45421</v>
      </c>
      <c r="C259" t="s">
        <v>46</v>
      </c>
      <c r="D259" t="s">
        <v>47</v>
      </c>
      <c r="E259" t="s">
        <v>22</v>
      </c>
      <c r="F259" t="s">
        <v>42</v>
      </c>
      <c r="G259" t="s">
        <v>83</v>
      </c>
      <c r="H259">
        <v>10</v>
      </c>
      <c r="I259">
        <v>44318.69</v>
      </c>
      <c r="J259" s="2">
        <v>0</v>
      </c>
      <c r="K259" t="s">
        <v>25</v>
      </c>
      <c r="L259">
        <v>443186.9</v>
      </c>
      <c r="M259" t="str">
        <f>TEXT(Table1[[#This Row],[OrderDate]], "mmm")</f>
        <v>May</v>
      </c>
      <c r="N259" t="str">
        <f>IF(Table1[[#This Row],[TotalSales]]&gt;50000,"High",IF(L259&gt;20000,"Medium","Low"))</f>
        <v>High</v>
      </c>
      <c r="O259">
        <f>Table1[[#This Row],[TotalSales]]/Table1[[#This Row],[Quantity]]</f>
        <v>44318.69</v>
      </c>
    </row>
    <row r="260" spans="1:15" x14ac:dyDescent="0.35">
      <c r="A260" t="s">
        <v>318</v>
      </c>
      <c r="B260" s="1">
        <v>45638</v>
      </c>
      <c r="C260" t="s">
        <v>40</v>
      </c>
      <c r="D260" t="s">
        <v>41</v>
      </c>
      <c r="E260" t="s">
        <v>28</v>
      </c>
      <c r="F260" t="s">
        <v>125</v>
      </c>
      <c r="G260" t="s">
        <v>83</v>
      </c>
      <c r="H260">
        <v>9</v>
      </c>
      <c r="I260">
        <v>45372.23</v>
      </c>
      <c r="J260" s="2">
        <v>0.05</v>
      </c>
      <c r="K260" t="s">
        <v>44</v>
      </c>
      <c r="L260">
        <v>387932.57</v>
      </c>
      <c r="M260" t="str">
        <f>TEXT(Table1[[#This Row],[OrderDate]], "mmm")</f>
        <v>Dec</v>
      </c>
      <c r="N260" t="str">
        <f>IF(Table1[[#This Row],[TotalSales]]&gt;50000,"High",IF(L260&gt;20000,"Medium","Low"))</f>
        <v>High</v>
      </c>
      <c r="O260">
        <f>Table1[[#This Row],[TotalSales]]/Table1[[#This Row],[Quantity]]</f>
        <v>43103.618888888886</v>
      </c>
    </row>
    <row r="261" spans="1:15" x14ac:dyDescent="0.35">
      <c r="A261" t="s">
        <v>319</v>
      </c>
      <c r="B261" s="1">
        <v>45464</v>
      </c>
      <c r="C261" t="s">
        <v>40</v>
      </c>
      <c r="D261" t="s">
        <v>55</v>
      </c>
      <c r="E261" t="s">
        <v>28</v>
      </c>
      <c r="F261" t="s">
        <v>76</v>
      </c>
      <c r="G261" t="s">
        <v>69</v>
      </c>
      <c r="H261">
        <v>5</v>
      </c>
      <c r="I261">
        <v>35304.589999999997</v>
      </c>
      <c r="J261" s="2">
        <v>0.2</v>
      </c>
      <c r="K261" t="s">
        <v>18</v>
      </c>
      <c r="L261">
        <v>141218.35999999999</v>
      </c>
      <c r="M261" t="str">
        <f>TEXT(Table1[[#This Row],[OrderDate]], "mmm")</f>
        <v>Jun</v>
      </c>
      <c r="N261" t="str">
        <f>IF(Table1[[#This Row],[TotalSales]]&gt;50000,"High",IF(L261&gt;20000,"Medium","Low"))</f>
        <v>High</v>
      </c>
      <c r="O261">
        <f>Table1[[#This Row],[TotalSales]]/Table1[[#This Row],[Quantity]]</f>
        <v>28243.671999999999</v>
      </c>
    </row>
    <row r="262" spans="1:15" x14ac:dyDescent="0.35">
      <c r="A262" t="s">
        <v>320</v>
      </c>
      <c r="B262" s="1">
        <v>45455</v>
      </c>
      <c r="C262" t="s">
        <v>40</v>
      </c>
      <c r="D262" t="s">
        <v>51</v>
      </c>
      <c r="E262" t="s">
        <v>22</v>
      </c>
      <c r="F262" t="s">
        <v>23</v>
      </c>
      <c r="G262" t="s">
        <v>66</v>
      </c>
      <c r="H262">
        <v>11</v>
      </c>
      <c r="I262">
        <v>7868.14</v>
      </c>
      <c r="J262" s="2">
        <v>0</v>
      </c>
      <c r="K262" t="s">
        <v>31</v>
      </c>
      <c r="L262">
        <v>86549.54</v>
      </c>
      <c r="M262" t="str">
        <f>TEXT(Table1[[#This Row],[OrderDate]], "mmm")</f>
        <v>Jun</v>
      </c>
      <c r="N262" t="str">
        <f>IF(Table1[[#This Row],[TotalSales]]&gt;50000,"High",IF(L262&gt;20000,"Medium","Low"))</f>
        <v>High</v>
      </c>
      <c r="O262">
        <f>Table1[[#This Row],[TotalSales]]/Table1[[#This Row],[Quantity]]</f>
        <v>7868.1399999999994</v>
      </c>
    </row>
    <row r="263" spans="1:15" x14ac:dyDescent="0.35">
      <c r="A263" t="s">
        <v>321</v>
      </c>
      <c r="B263" s="1">
        <v>45565</v>
      </c>
      <c r="C263" t="s">
        <v>20</v>
      </c>
      <c r="D263" t="s">
        <v>21</v>
      </c>
      <c r="E263" t="s">
        <v>22</v>
      </c>
      <c r="F263" t="s">
        <v>52</v>
      </c>
      <c r="G263" t="s">
        <v>24</v>
      </c>
      <c r="H263">
        <v>11</v>
      </c>
      <c r="I263">
        <v>43212.36</v>
      </c>
      <c r="J263" s="2">
        <v>0.15</v>
      </c>
      <c r="K263" t="s">
        <v>44</v>
      </c>
      <c r="L263">
        <v>404035.57</v>
      </c>
      <c r="M263" t="str">
        <f>TEXT(Table1[[#This Row],[OrderDate]], "mmm")</f>
        <v>Sep</v>
      </c>
      <c r="N263" t="str">
        <f>IF(Table1[[#This Row],[TotalSales]]&gt;50000,"High",IF(L263&gt;20000,"Medium","Low"))</f>
        <v>High</v>
      </c>
      <c r="O263">
        <f>Table1[[#This Row],[TotalSales]]/Table1[[#This Row],[Quantity]]</f>
        <v>36730.506363636363</v>
      </c>
    </row>
    <row r="264" spans="1:15" x14ac:dyDescent="0.35">
      <c r="A264" t="s">
        <v>322</v>
      </c>
      <c r="B264" s="1">
        <v>45424</v>
      </c>
      <c r="C264" t="s">
        <v>20</v>
      </c>
      <c r="D264" t="s">
        <v>21</v>
      </c>
      <c r="E264" t="s">
        <v>15</v>
      </c>
      <c r="F264" t="s">
        <v>38</v>
      </c>
      <c r="G264" t="s">
        <v>69</v>
      </c>
      <c r="H264">
        <v>12</v>
      </c>
      <c r="I264">
        <v>44497.24</v>
      </c>
      <c r="J264" s="2">
        <v>0.2</v>
      </c>
      <c r="K264" t="s">
        <v>44</v>
      </c>
      <c r="L264">
        <v>427173.5</v>
      </c>
      <c r="M264" t="str">
        <f>TEXT(Table1[[#This Row],[OrderDate]], "mmm")</f>
        <v>May</v>
      </c>
      <c r="N264" t="str">
        <f>IF(Table1[[#This Row],[TotalSales]]&gt;50000,"High",IF(L264&gt;20000,"Medium","Low"))</f>
        <v>High</v>
      </c>
      <c r="O264">
        <f>Table1[[#This Row],[TotalSales]]/Table1[[#This Row],[Quantity]]</f>
        <v>35597.791666666664</v>
      </c>
    </row>
    <row r="265" spans="1:15" x14ac:dyDescent="0.35">
      <c r="A265" t="s">
        <v>323</v>
      </c>
      <c r="B265" s="1">
        <v>45482</v>
      </c>
      <c r="C265" t="s">
        <v>40</v>
      </c>
      <c r="D265" t="s">
        <v>41</v>
      </c>
      <c r="E265" t="s">
        <v>22</v>
      </c>
      <c r="F265" t="s">
        <v>52</v>
      </c>
      <c r="G265" t="s">
        <v>17</v>
      </c>
      <c r="H265">
        <v>5</v>
      </c>
      <c r="I265">
        <v>32289.27</v>
      </c>
      <c r="J265" s="2">
        <v>0.05</v>
      </c>
      <c r="K265" t="s">
        <v>25</v>
      </c>
      <c r="L265">
        <v>153374.03</v>
      </c>
      <c r="M265" t="str">
        <f>TEXT(Table1[[#This Row],[OrderDate]], "mmm")</f>
        <v>Jul</v>
      </c>
      <c r="N265" t="str">
        <f>IF(Table1[[#This Row],[TotalSales]]&gt;50000,"High",IF(L265&gt;20000,"Medium","Low"))</f>
        <v>High</v>
      </c>
      <c r="O265">
        <f>Table1[[#This Row],[TotalSales]]/Table1[[#This Row],[Quantity]]</f>
        <v>30674.806</v>
      </c>
    </row>
    <row r="266" spans="1:15" x14ac:dyDescent="0.35">
      <c r="A266" t="s">
        <v>324</v>
      </c>
      <c r="B266" s="1">
        <v>45444</v>
      </c>
      <c r="C266" t="s">
        <v>40</v>
      </c>
      <c r="D266" t="s">
        <v>51</v>
      </c>
      <c r="E266" t="s">
        <v>22</v>
      </c>
      <c r="F266" t="s">
        <v>23</v>
      </c>
      <c r="G266" t="s">
        <v>30</v>
      </c>
      <c r="H266">
        <v>7</v>
      </c>
      <c r="I266">
        <v>3162.6</v>
      </c>
      <c r="J266" s="2">
        <v>0.2</v>
      </c>
      <c r="K266" t="s">
        <v>18</v>
      </c>
      <c r="L266">
        <v>17710.560000000001</v>
      </c>
      <c r="M266" t="str">
        <f>TEXT(Table1[[#This Row],[OrderDate]], "mmm")</f>
        <v>Jun</v>
      </c>
      <c r="N266" t="str">
        <f>IF(Table1[[#This Row],[TotalSales]]&gt;50000,"High",IF(L266&gt;20000,"Medium","Low"))</f>
        <v>Low</v>
      </c>
      <c r="O266">
        <f>Table1[[#This Row],[TotalSales]]/Table1[[#This Row],[Quantity]]</f>
        <v>2530.0800000000004</v>
      </c>
    </row>
    <row r="267" spans="1:15" x14ac:dyDescent="0.35">
      <c r="A267" t="s">
        <v>325</v>
      </c>
      <c r="B267" s="1">
        <v>45462</v>
      </c>
      <c r="C267" t="s">
        <v>46</v>
      </c>
      <c r="D267" t="s">
        <v>79</v>
      </c>
      <c r="E267" t="s">
        <v>28</v>
      </c>
      <c r="F267" t="s">
        <v>125</v>
      </c>
      <c r="G267" t="s">
        <v>24</v>
      </c>
      <c r="H267">
        <v>11</v>
      </c>
      <c r="I267">
        <v>54267.89</v>
      </c>
      <c r="J267" s="2">
        <v>0</v>
      </c>
      <c r="K267" t="s">
        <v>18</v>
      </c>
      <c r="L267">
        <v>596946.79</v>
      </c>
      <c r="M267" t="str">
        <f>TEXT(Table1[[#This Row],[OrderDate]], "mmm")</f>
        <v>Jun</v>
      </c>
      <c r="N267" t="str">
        <f>IF(Table1[[#This Row],[TotalSales]]&gt;50000,"High",IF(L267&gt;20000,"Medium","Low"))</f>
        <v>High</v>
      </c>
      <c r="O267">
        <f>Table1[[#This Row],[TotalSales]]/Table1[[#This Row],[Quantity]]</f>
        <v>54267.890000000007</v>
      </c>
    </row>
    <row r="268" spans="1:15" x14ac:dyDescent="0.35">
      <c r="A268" t="s">
        <v>326</v>
      </c>
      <c r="B268" s="1">
        <v>45514</v>
      </c>
      <c r="C268" t="s">
        <v>20</v>
      </c>
      <c r="D268" t="s">
        <v>21</v>
      </c>
      <c r="E268" t="s">
        <v>34</v>
      </c>
      <c r="F268" t="s">
        <v>35</v>
      </c>
      <c r="G268" t="s">
        <v>83</v>
      </c>
      <c r="H268">
        <v>11</v>
      </c>
      <c r="I268">
        <v>23731.65</v>
      </c>
      <c r="J268" s="2">
        <v>0.05</v>
      </c>
      <c r="K268" t="s">
        <v>31</v>
      </c>
      <c r="L268">
        <v>247995.74</v>
      </c>
      <c r="M268" t="str">
        <f>TEXT(Table1[[#This Row],[OrderDate]], "mmm")</f>
        <v>Aug</v>
      </c>
      <c r="N268" t="str">
        <f>IF(Table1[[#This Row],[TotalSales]]&gt;50000,"High",IF(L268&gt;20000,"Medium","Low"))</f>
        <v>High</v>
      </c>
      <c r="O268">
        <f>Table1[[#This Row],[TotalSales]]/Table1[[#This Row],[Quantity]]</f>
        <v>22545.067272727272</v>
      </c>
    </row>
    <row r="269" spans="1:15" x14ac:dyDescent="0.35">
      <c r="A269" t="s">
        <v>327</v>
      </c>
      <c r="B269" s="1">
        <v>45294</v>
      </c>
      <c r="C269" t="s">
        <v>46</v>
      </c>
      <c r="D269" t="s">
        <v>71</v>
      </c>
      <c r="E269" t="s">
        <v>28</v>
      </c>
      <c r="F269" t="s">
        <v>125</v>
      </c>
      <c r="G269" t="s">
        <v>49</v>
      </c>
      <c r="H269">
        <v>11</v>
      </c>
      <c r="I269">
        <v>40401.46</v>
      </c>
      <c r="J269" s="2">
        <v>0</v>
      </c>
      <c r="K269" t="s">
        <v>18</v>
      </c>
      <c r="L269">
        <v>444416.06</v>
      </c>
      <c r="M269" t="str">
        <f>TEXT(Table1[[#This Row],[OrderDate]], "mmm")</f>
        <v>Jan</v>
      </c>
      <c r="N269" t="str">
        <f>IF(Table1[[#This Row],[TotalSales]]&gt;50000,"High",IF(L269&gt;20000,"Medium","Low"))</f>
        <v>High</v>
      </c>
      <c r="O269">
        <f>Table1[[#This Row],[TotalSales]]/Table1[[#This Row],[Quantity]]</f>
        <v>40401.46</v>
      </c>
    </row>
    <row r="270" spans="1:15" x14ac:dyDescent="0.35">
      <c r="A270" t="s">
        <v>328</v>
      </c>
      <c r="B270" s="1">
        <v>45525</v>
      </c>
      <c r="C270" t="s">
        <v>13</v>
      </c>
      <c r="D270" t="s">
        <v>37</v>
      </c>
      <c r="E270" t="s">
        <v>15</v>
      </c>
      <c r="F270" t="s">
        <v>16</v>
      </c>
      <c r="G270" t="s">
        <v>30</v>
      </c>
      <c r="H270">
        <v>12</v>
      </c>
      <c r="I270">
        <v>28711.8</v>
      </c>
      <c r="J270" s="2">
        <v>0.1</v>
      </c>
      <c r="K270" t="s">
        <v>44</v>
      </c>
      <c r="L270">
        <v>310087.44</v>
      </c>
      <c r="M270" t="str">
        <f>TEXT(Table1[[#This Row],[OrderDate]], "mmm")</f>
        <v>Aug</v>
      </c>
      <c r="N270" t="str">
        <f>IF(Table1[[#This Row],[TotalSales]]&gt;50000,"High",IF(L270&gt;20000,"Medium","Low"))</f>
        <v>High</v>
      </c>
      <c r="O270">
        <f>Table1[[#This Row],[TotalSales]]/Table1[[#This Row],[Quantity]]</f>
        <v>25840.62</v>
      </c>
    </row>
    <row r="271" spans="1:15" x14ac:dyDescent="0.35">
      <c r="A271" t="s">
        <v>329</v>
      </c>
      <c r="B271" s="1">
        <v>45408</v>
      </c>
      <c r="C271" t="s">
        <v>40</v>
      </c>
      <c r="D271" t="s">
        <v>55</v>
      </c>
      <c r="E271" t="s">
        <v>22</v>
      </c>
      <c r="F271" t="s">
        <v>42</v>
      </c>
      <c r="G271" t="s">
        <v>43</v>
      </c>
      <c r="H271">
        <v>4</v>
      </c>
      <c r="I271">
        <v>40048.85</v>
      </c>
      <c r="J271" s="2">
        <v>0</v>
      </c>
      <c r="K271" t="s">
        <v>25</v>
      </c>
      <c r="L271">
        <v>160195.4</v>
      </c>
      <c r="M271" t="str">
        <f>TEXT(Table1[[#This Row],[OrderDate]], "mmm")</f>
        <v>Apr</v>
      </c>
      <c r="N271" t="str">
        <f>IF(Table1[[#This Row],[TotalSales]]&gt;50000,"High",IF(L271&gt;20000,"Medium","Low"))</f>
        <v>High</v>
      </c>
      <c r="O271">
        <f>Table1[[#This Row],[TotalSales]]/Table1[[#This Row],[Quantity]]</f>
        <v>40048.85</v>
      </c>
    </row>
    <row r="272" spans="1:15" x14ac:dyDescent="0.35">
      <c r="A272" t="s">
        <v>330</v>
      </c>
      <c r="B272" s="1">
        <v>45347</v>
      </c>
      <c r="C272" t="s">
        <v>46</v>
      </c>
      <c r="D272" t="s">
        <v>71</v>
      </c>
      <c r="E272" t="s">
        <v>28</v>
      </c>
      <c r="F272" t="s">
        <v>76</v>
      </c>
      <c r="G272" t="s">
        <v>30</v>
      </c>
      <c r="H272">
        <v>11</v>
      </c>
      <c r="I272">
        <v>46019.38</v>
      </c>
      <c r="J272" s="2">
        <v>0</v>
      </c>
      <c r="K272" t="s">
        <v>18</v>
      </c>
      <c r="L272">
        <v>506213.18</v>
      </c>
      <c r="M272" t="str">
        <f>TEXT(Table1[[#This Row],[OrderDate]], "mmm")</f>
        <v>Feb</v>
      </c>
      <c r="N272" t="str">
        <f>IF(Table1[[#This Row],[TotalSales]]&gt;50000,"High",IF(L272&gt;20000,"Medium","Low"))</f>
        <v>High</v>
      </c>
      <c r="O272">
        <f>Table1[[#This Row],[TotalSales]]/Table1[[#This Row],[Quantity]]</f>
        <v>46019.38</v>
      </c>
    </row>
    <row r="273" spans="1:15" x14ac:dyDescent="0.35">
      <c r="A273" t="s">
        <v>331</v>
      </c>
      <c r="B273" s="1">
        <v>45630</v>
      </c>
      <c r="C273" t="s">
        <v>13</v>
      </c>
      <c r="D273" t="s">
        <v>37</v>
      </c>
      <c r="E273" t="s">
        <v>22</v>
      </c>
      <c r="F273" t="s">
        <v>23</v>
      </c>
      <c r="G273" t="s">
        <v>17</v>
      </c>
      <c r="H273">
        <v>2</v>
      </c>
      <c r="I273">
        <v>36504.07</v>
      </c>
      <c r="J273" s="2">
        <v>0</v>
      </c>
      <c r="K273" t="s">
        <v>44</v>
      </c>
      <c r="L273">
        <v>73008.14</v>
      </c>
      <c r="M273" t="str">
        <f>TEXT(Table1[[#This Row],[OrderDate]], "mmm")</f>
        <v>Dec</v>
      </c>
      <c r="N273" t="str">
        <f>IF(Table1[[#This Row],[TotalSales]]&gt;50000,"High",IF(L273&gt;20000,"Medium","Low"))</f>
        <v>High</v>
      </c>
      <c r="O273">
        <f>Table1[[#This Row],[TotalSales]]/Table1[[#This Row],[Quantity]]</f>
        <v>36504.07</v>
      </c>
    </row>
    <row r="274" spans="1:15" x14ac:dyDescent="0.35">
      <c r="A274" t="s">
        <v>332</v>
      </c>
      <c r="B274" s="1">
        <v>45603</v>
      </c>
      <c r="C274" t="s">
        <v>40</v>
      </c>
      <c r="D274" t="s">
        <v>55</v>
      </c>
      <c r="E274" t="s">
        <v>15</v>
      </c>
      <c r="F274" t="s">
        <v>16</v>
      </c>
      <c r="G274" t="s">
        <v>43</v>
      </c>
      <c r="H274">
        <v>4</v>
      </c>
      <c r="I274">
        <v>42832.15</v>
      </c>
      <c r="J274" s="2">
        <v>0.2</v>
      </c>
      <c r="K274" t="s">
        <v>25</v>
      </c>
      <c r="L274">
        <v>137062.88</v>
      </c>
      <c r="M274" t="str">
        <f>TEXT(Table1[[#This Row],[OrderDate]], "mmm")</f>
        <v>Nov</v>
      </c>
      <c r="N274" t="str">
        <f>IF(Table1[[#This Row],[TotalSales]]&gt;50000,"High",IF(L274&gt;20000,"Medium","Low"))</f>
        <v>High</v>
      </c>
      <c r="O274">
        <f>Table1[[#This Row],[TotalSales]]/Table1[[#This Row],[Quantity]]</f>
        <v>34265.72</v>
      </c>
    </row>
    <row r="275" spans="1:15" x14ac:dyDescent="0.35">
      <c r="A275" t="s">
        <v>333</v>
      </c>
      <c r="B275" s="1">
        <v>45293</v>
      </c>
      <c r="C275" t="s">
        <v>13</v>
      </c>
      <c r="D275" t="s">
        <v>14</v>
      </c>
      <c r="E275" t="s">
        <v>22</v>
      </c>
      <c r="F275" t="s">
        <v>82</v>
      </c>
      <c r="G275" t="s">
        <v>17</v>
      </c>
      <c r="H275">
        <v>1</v>
      </c>
      <c r="I275">
        <v>37005.5</v>
      </c>
      <c r="J275" s="2">
        <v>0</v>
      </c>
      <c r="K275" t="s">
        <v>31</v>
      </c>
      <c r="L275">
        <v>37005.5</v>
      </c>
      <c r="M275" t="str">
        <f>TEXT(Table1[[#This Row],[OrderDate]], "mmm")</f>
        <v>Jan</v>
      </c>
      <c r="N275" t="str">
        <f>IF(Table1[[#This Row],[TotalSales]]&gt;50000,"High",IF(L275&gt;20000,"Medium","Low"))</f>
        <v>Medium</v>
      </c>
      <c r="O275">
        <f>Table1[[#This Row],[TotalSales]]/Table1[[#This Row],[Quantity]]</f>
        <v>37005.5</v>
      </c>
    </row>
    <row r="276" spans="1:15" x14ac:dyDescent="0.35">
      <c r="A276" t="s">
        <v>334</v>
      </c>
      <c r="B276" s="1">
        <v>45427</v>
      </c>
      <c r="C276" t="s">
        <v>40</v>
      </c>
      <c r="D276" t="s">
        <v>41</v>
      </c>
      <c r="E276" t="s">
        <v>28</v>
      </c>
      <c r="F276" t="s">
        <v>125</v>
      </c>
      <c r="G276" t="s">
        <v>83</v>
      </c>
      <c r="H276">
        <v>8</v>
      </c>
      <c r="I276">
        <v>2944.39</v>
      </c>
      <c r="J276" s="2">
        <v>0.2</v>
      </c>
      <c r="K276" t="s">
        <v>25</v>
      </c>
      <c r="L276">
        <v>18844.099999999999</v>
      </c>
      <c r="M276" t="str">
        <f>TEXT(Table1[[#This Row],[OrderDate]], "mmm")</f>
        <v>May</v>
      </c>
      <c r="N276" t="str">
        <f>IF(Table1[[#This Row],[TotalSales]]&gt;50000,"High",IF(L276&gt;20000,"Medium","Low"))</f>
        <v>Low</v>
      </c>
      <c r="O276">
        <f>Table1[[#This Row],[TotalSales]]/Table1[[#This Row],[Quantity]]</f>
        <v>2355.5124999999998</v>
      </c>
    </row>
    <row r="277" spans="1:15" x14ac:dyDescent="0.35">
      <c r="A277" t="s">
        <v>335</v>
      </c>
      <c r="B277" s="1">
        <v>45362</v>
      </c>
      <c r="C277" t="s">
        <v>46</v>
      </c>
      <c r="D277" t="s">
        <v>47</v>
      </c>
      <c r="E277" t="s">
        <v>15</v>
      </c>
      <c r="F277" t="s">
        <v>16</v>
      </c>
      <c r="G277" t="s">
        <v>17</v>
      </c>
      <c r="H277">
        <v>11</v>
      </c>
      <c r="I277">
        <v>35666.480000000003</v>
      </c>
      <c r="J277" s="2">
        <v>0</v>
      </c>
      <c r="K277" t="s">
        <v>44</v>
      </c>
      <c r="L277">
        <v>392331.28</v>
      </c>
      <c r="M277" t="str">
        <f>TEXT(Table1[[#This Row],[OrderDate]], "mmm")</f>
        <v>Mar</v>
      </c>
      <c r="N277" t="str">
        <f>IF(Table1[[#This Row],[TotalSales]]&gt;50000,"High",IF(L277&gt;20000,"Medium","Low"))</f>
        <v>High</v>
      </c>
      <c r="O277">
        <f>Table1[[#This Row],[TotalSales]]/Table1[[#This Row],[Quantity]]</f>
        <v>35666.480000000003</v>
      </c>
    </row>
    <row r="278" spans="1:15" x14ac:dyDescent="0.35">
      <c r="A278" t="s">
        <v>336</v>
      </c>
      <c r="B278" s="1">
        <v>45496</v>
      </c>
      <c r="C278" t="s">
        <v>46</v>
      </c>
      <c r="D278" t="s">
        <v>79</v>
      </c>
      <c r="E278" t="s">
        <v>28</v>
      </c>
      <c r="F278" t="s">
        <v>125</v>
      </c>
      <c r="G278" t="s">
        <v>24</v>
      </c>
      <c r="H278">
        <v>8</v>
      </c>
      <c r="I278">
        <v>15096.45</v>
      </c>
      <c r="J278" s="2">
        <v>0.05</v>
      </c>
      <c r="K278" t="s">
        <v>31</v>
      </c>
      <c r="L278">
        <v>114733.02</v>
      </c>
      <c r="M278" t="str">
        <f>TEXT(Table1[[#This Row],[OrderDate]], "mmm")</f>
        <v>Jul</v>
      </c>
      <c r="N278" t="str">
        <f>IF(Table1[[#This Row],[TotalSales]]&gt;50000,"High",IF(L278&gt;20000,"Medium","Low"))</f>
        <v>High</v>
      </c>
      <c r="O278">
        <f>Table1[[#This Row],[TotalSales]]/Table1[[#This Row],[Quantity]]</f>
        <v>14341.627500000001</v>
      </c>
    </row>
    <row r="279" spans="1:15" x14ac:dyDescent="0.35">
      <c r="A279" t="s">
        <v>337</v>
      </c>
      <c r="B279" s="1">
        <v>45505</v>
      </c>
      <c r="C279" t="s">
        <v>20</v>
      </c>
      <c r="D279" t="s">
        <v>27</v>
      </c>
      <c r="E279" t="s">
        <v>22</v>
      </c>
      <c r="F279" t="s">
        <v>23</v>
      </c>
      <c r="G279" t="s">
        <v>43</v>
      </c>
      <c r="H279">
        <v>15</v>
      </c>
      <c r="I279">
        <v>32573.119999999999</v>
      </c>
      <c r="J279" s="2">
        <v>0.2</v>
      </c>
      <c r="K279" t="s">
        <v>18</v>
      </c>
      <c r="L279">
        <v>390877.44</v>
      </c>
      <c r="M279" t="str">
        <f>TEXT(Table1[[#This Row],[OrderDate]], "mmm")</f>
        <v>Aug</v>
      </c>
      <c r="N279" t="str">
        <f>IF(Table1[[#This Row],[TotalSales]]&gt;50000,"High",IF(L279&gt;20000,"Medium","Low"))</f>
        <v>High</v>
      </c>
      <c r="O279">
        <f>Table1[[#This Row],[TotalSales]]/Table1[[#This Row],[Quantity]]</f>
        <v>26058.495999999999</v>
      </c>
    </row>
    <row r="280" spans="1:15" x14ac:dyDescent="0.35">
      <c r="A280" t="s">
        <v>338</v>
      </c>
      <c r="B280" s="1">
        <v>45517</v>
      </c>
      <c r="C280" t="s">
        <v>46</v>
      </c>
      <c r="D280" t="s">
        <v>79</v>
      </c>
      <c r="E280" t="s">
        <v>34</v>
      </c>
      <c r="F280" t="s">
        <v>88</v>
      </c>
      <c r="G280" t="s">
        <v>69</v>
      </c>
      <c r="H280">
        <v>1</v>
      </c>
      <c r="I280">
        <v>3670.82</v>
      </c>
      <c r="J280" s="2">
        <v>0.15</v>
      </c>
      <c r="K280" t="s">
        <v>44</v>
      </c>
      <c r="L280">
        <v>3120.2</v>
      </c>
      <c r="M280" t="str">
        <f>TEXT(Table1[[#This Row],[OrderDate]], "mmm")</f>
        <v>Aug</v>
      </c>
      <c r="N280" t="str">
        <f>IF(Table1[[#This Row],[TotalSales]]&gt;50000,"High",IF(L280&gt;20000,"Medium","Low"))</f>
        <v>Low</v>
      </c>
      <c r="O280">
        <f>Table1[[#This Row],[TotalSales]]/Table1[[#This Row],[Quantity]]</f>
        <v>3120.2</v>
      </c>
    </row>
    <row r="281" spans="1:15" x14ac:dyDescent="0.35">
      <c r="A281" t="s">
        <v>339</v>
      </c>
      <c r="B281" s="1">
        <v>45469</v>
      </c>
      <c r="C281" t="s">
        <v>20</v>
      </c>
      <c r="D281" t="s">
        <v>97</v>
      </c>
      <c r="E281" t="s">
        <v>15</v>
      </c>
      <c r="F281" t="s">
        <v>38</v>
      </c>
      <c r="G281" t="s">
        <v>43</v>
      </c>
      <c r="H281">
        <v>11</v>
      </c>
      <c r="I281">
        <v>37261</v>
      </c>
      <c r="J281" s="2">
        <v>0.05</v>
      </c>
      <c r="K281" t="s">
        <v>18</v>
      </c>
      <c r="L281">
        <v>389377.45</v>
      </c>
      <c r="M281" t="str">
        <f>TEXT(Table1[[#This Row],[OrderDate]], "mmm")</f>
        <v>Jun</v>
      </c>
      <c r="N281" t="str">
        <f>IF(Table1[[#This Row],[TotalSales]]&gt;50000,"High",IF(L281&gt;20000,"Medium","Low"))</f>
        <v>High</v>
      </c>
      <c r="O281">
        <f>Table1[[#This Row],[TotalSales]]/Table1[[#This Row],[Quantity]]</f>
        <v>35397.950000000004</v>
      </c>
    </row>
    <row r="282" spans="1:15" x14ac:dyDescent="0.35">
      <c r="A282" t="s">
        <v>340</v>
      </c>
      <c r="B282" s="1">
        <v>45543</v>
      </c>
      <c r="C282" t="s">
        <v>20</v>
      </c>
      <c r="D282" t="s">
        <v>27</v>
      </c>
      <c r="E282" t="s">
        <v>34</v>
      </c>
      <c r="F282" t="s">
        <v>88</v>
      </c>
      <c r="G282" t="s">
        <v>69</v>
      </c>
      <c r="H282">
        <v>6</v>
      </c>
      <c r="I282">
        <v>13400.87</v>
      </c>
      <c r="J282" s="2">
        <v>0</v>
      </c>
      <c r="K282" t="s">
        <v>31</v>
      </c>
      <c r="L282">
        <v>80405.22</v>
      </c>
      <c r="M282" t="str">
        <f>TEXT(Table1[[#This Row],[OrderDate]], "mmm")</f>
        <v>Sep</v>
      </c>
      <c r="N282" t="str">
        <f>IF(Table1[[#This Row],[TotalSales]]&gt;50000,"High",IF(L282&gt;20000,"Medium","Low"))</f>
        <v>High</v>
      </c>
      <c r="O282">
        <f>Table1[[#This Row],[TotalSales]]/Table1[[#This Row],[Quantity]]</f>
        <v>13400.87</v>
      </c>
    </row>
    <row r="283" spans="1:15" x14ac:dyDescent="0.35">
      <c r="A283" t="s">
        <v>341</v>
      </c>
      <c r="B283" s="1">
        <v>45547</v>
      </c>
      <c r="C283" t="s">
        <v>40</v>
      </c>
      <c r="D283" t="s">
        <v>55</v>
      </c>
      <c r="E283" t="s">
        <v>34</v>
      </c>
      <c r="F283" t="s">
        <v>88</v>
      </c>
      <c r="G283" t="s">
        <v>43</v>
      </c>
      <c r="H283">
        <v>8</v>
      </c>
      <c r="I283">
        <v>17520.169999999998</v>
      </c>
      <c r="J283" s="2">
        <v>0.05</v>
      </c>
      <c r="K283" t="s">
        <v>31</v>
      </c>
      <c r="L283">
        <v>133153.29</v>
      </c>
      <c r="M283" t="str">
        <f>TEXT(Table1[[#This Row],[OrderDate]], "mmm")</f>
        <v>Sep</v>
      </c>
      <c r="N283" t="str">
        <f>IF(Table1[[#This Row],[TotalSales]]&gt;50000,"High",IF(L283&gt;20000,"Medium","Low"))</f>
        <v>High</v>
      </c>
      <c r="O283">
        <f>Table1[[#This Row],[TotalSales]]/Table1[[#This Row],[Quantity]]</f>
        <v>16644.161250000001</v>
      </c>
    </row>
    <row r="284" spans="1:15" x14ac:dyDescent="0.35">
      <c r="A284" t="s">
        <v>342</v>
      </c>
      <c r="B284" s="1">
        <v>45478</v>
      </c>
      <c r="C284" t="s">
        <v>40</v>
      </c>
      <c r="D284" t="s">
        <v>41</v>
      </c>
      <c r="E284" t="s">
        <v>28</v>
      </c>
      <c r="F284" t="s">
        <v>125</v>
      </c>
      <c r="G284" t="s">
        <v>83</v>
      </c>
      <c r="H284">
        <v>14</v>
      </c>
      <c r="I284">
        <v>3174.28</v>
      </c>
      <c r="J284" s="2">
        <v>0</v>
      </c>
      <c r="K284" t="s">
        <v>25</v>
      </c>
      <c r="L284">
        <v>44439.92</v>
      </c>
      <c r="M284" t="str">
        <f>TEXT(Table1[[#This Row],[OrderDate]], "mmm")</f>
        <v>Jul</v>
      </c>
      <c r="N284" t="str">
        <f>IF(Table1[[#This Row],[TotalSales]]&gt;50000,"High",IF(L284&gt;20000,"Medium","Low"))</f>
        <v>Medium</v>
      </c>
      <c r="O284">
        <f>Table1[[#This Row],[TotalSales]]/Table1[[#This Row],[Quantity]]</f>
        <v>3174.2799999999997</v>
      </c>
    </row>
    <row r="285" spans="1:15" x14ac:dyDescent="0.35">
      <c r="A285" t="s">
        <v>343</v>
      </c>
      <c r="B285" s="1">
        <v>45466</v>
      </c>
      <c r="C285" t="s">
        <v>20</v>
      </c>
      <c r="D285" t="s">
        <v>27</v>
      </c>
      <c r="E285" t="s">
        <v>15</v>
      </c>
      <c r="F285" t="s">
        <v>16</v>
      </c>
      <c r="G285" t="s">
        <v>24</v>
      </c>
      <c r="H285">
        <v>6</v>
      </c>
      <c r="I285">
        <v>45677.64</v>
      </c>
      <c r="J285" s="2">
        <v>0.2</v>
      </c>
      <c r="K285" t="s">
        <v>25</v>
      </c>
      <c r="L285">
        <v>219252.67</v>
      </c>
      <c r="M285" t="str">
        <f>TEXT(Table1[[#This Row],[OrderDate]], "mmm")</f>
        <v>Jun</v>
      </c>
      <c r="N285" t="str">
        <f>IF(Table1[[#This Row],[TotalSales]]&gt;50000,"High",IF(L285&gt;20000,"Medium","Low"))</f>
        <v>High</v>
      </c>
      <c r="O285">
        <f>Table1[[#This Row],[TotalSales]]/Table1[[#This Row],[Quantity]]</f>
        <v>36542.111666666671</v>
      </c>
    </row>
    <row r="286" spans="1:15" x14ac:dyDescent="0.35">
      <c r="A286" t="s">
        <v>344</v>
      </c>
      <c r="B286" s="1">
        <v>45604</v>
      </c>
      <c r="C286" t="s">
        <v>46</v>
      </c>
      <c r="D286" t="s">
        <v>79</v>
      </c>
      <c r="E286" t="s">
        <v>22</v>
      </c>
      <c r="F286" t="s">
        <v>82</v>
      </c>
      <c r="G286" t="s">
        <v>17</v>
      </c>
      <c r="H286">
        <v>4</v>
      </c>
      <c r="I286">
        <v>10477.379999999999</v>
      </c>
      <c r="J286" s="2">
        <v>0.2</v>
      </c>
      <c r="K286" t="s">
        <v>25</v>
      </c>
      <c r="L286">
        <v>33527.620000000003</v>
      </c>
      <c r="M286" t="str">
        <f>TEXT(Table1[[#This Row],[OrderDate]], "mmm")</f>
        <v>Nov</v>
      </c>
      <c r="N286" t="str">
        <f>IF(Table1[[#This Row],[TotalSales]]&gt;50000,"High",IF(L286&gt;20000,"Medium","Low"))</f>
        <v>Medium</v>
      </c>
      <c r="O286">
        <f>Table1[[#This Row],[TotalSales]]/Table1[[#This Row],[Quantity]]</f>
        <v>8381.9050000000007</v>
      </c>
    </row>
    <row r="287" spans="1:15" x14ac:dyDescent="0.35">
      <c r="A287" t="s">
        <v>345</v>
      </c>
      <c r="B287" s="1">
        <v>45629</v>
      </c>
      <c r="C287" t="s">
        <v>40</v>
      </c>
      <c r="D287" t="s">
        <v>41</v>
      </c>
      <c r="E287" t="s">
        <v>15</v>
      </c>
      <c r="F287" t="s">
        <v>16</v>
      </c>
      <c r="G287" t="s">
        <v>66</v>
      </c>
      <c r="H287">
        <v>10</v>
      </c>
      <c r="I287">
        <v>52599.23</v>
      </c>
      <c r="J287" s="2">
        <v>0</v>
      </c>
      <c r="K287" t="s">
        <v>25</v>
      </c>
      <c r="L287">
        <v>525992.30000000005</v>
      </c>
      <c r="M287" t="str">
        <f>TEXT(Table1[[#This Row],[OrderDate]], "mmm")</f>
        <v>Dec</v>
      </c>
      <c r="N287" t="str">
        <f>IF(Table1[[#This Row],[TotalSales]]&gt;50000,"High",IF(L287&gt;20000,"Medium","Low"))</f>
        <v>High</v>
      </c>
      <c r="O287">
        <f>Table1[[#This Row],[TotalSales]]/Table1[[#This Row],[Quantity]]</f>
        <v>52599.23</v>
      </c>
    </row>
    <row r="288" spans="1:15" x14ac:dyDescent="0.35">
      <c r="A288" t="s">
        <v>346</v>
      </c>
      <c r="B288" s="1">
        <v>45490</v>
      </c>
      <c r="C288" t="s">
        <v>20</v>
      </c>
      <c r="D288" t="s">
        <v>27</v>
      </c>
      <c r="E288" t="s">
        <v>22</v>
      </c>
      <c r="F288" t="s">
        <v>42</v>
      </c>
      <c r="G288" t="s">
        <v>69</v>
      </c>
      <c r="H288">
        <v>11</v>
      </c>
      <c r="I288">
        <v>33109.919999999998</v>
      </c>
      <c r="J288" s="2">
        <v>0</v>
      </c>
      <c r="K288" t="s">
        <v>44</v>
      </c>
      <c r="L288">
        <v>364209.12</v>
      </c>
      <c r="M288" t="str">
        <f>TEXT(Table1[[#This Row],[OrderDate]], "mmm")</f>
        <v>Jul</v>
      </c>
      <c r="N288" t="str">
        <f>IF(Table1[[#This Row],[TotalSales]]&gt;50000,"High",IF(L288&gt;20000,"Medium","Low"))</f>
        <v>High</v>
      </c>
      <c r="O288">
        <f>Table1[[#This Row],[TotalSales]]/Table1[[#This Row],[Quantity]]</f>
        <v>33109.919999999998</v>
      </c>
    </row>
    <row r="289" spans="1:15" x14ac:dyDescent="0.35">
      <c r="A289" t="s">
        <v>347</v>
      </c>
      <c r="B289" s="1">
        <v>45360</v>
      </c>
      <c r="C289" t="s">
        <v>13</v>
      </c>
      <c r="D289" t="s">
        <v>37</v>
      </c>
      <c r="E289" t="s">
        <v>34</v>
      </c>
      <c r="F289" t="s">
        <v>48</v>
      </c>
      <c r="G289" t="s">
        <v>83</v>
      </c>
      <c r="H289">
        <v>3</v>
      </c>
      <c r="I289">
        <v>22818.45</v>
      </c>
      <c r="J289" s="2">
        <v>0.15</v>
      </c>
      <c r="K289" t="s">
        <v>18</v>
      </c>
      <c r="L289">
        <v>58187.05</v>
      </c>
      <c r="M289" t="str">
        <f>TEXT(Table1[[#This Row],[OrderDate]], "mmm")</f>
        <v>Mar</v>
      </c>
      <c r="N289" t="str">
        <f>IF(Table1[[#This Row],[TotalSales]]&gt;50000,"High",IF(L289&gt;20000,"Medium","Low"))</f>
        <v>High</v>
      </c>
      <c r="O289">
        <f>Table1[[#This Row],[TotalSales]]/Table1[[#This Row],[Quantity]]</f>
        <v>19395.683333333334</v>
      </c>
    </row>
    <row r="290" spans="1:15" x14ac:dyDescent="0.35">
      <c r="A290" t="s">
        <v>348</v>
      </c>
      <c r="B290" s="1">
        <v>45468</v>
      </c>
      <c r="C290" t="s">
        <v>13</v>
      </c>
      <c r="D290" t="s">
        <v>33</v>
      </c>
      <c r="E290" t="s">
        <v>22</v>
      </c>
      <c r="F290" t="s">
        <v>42</v>
      </c>
      <c r="G290" t="s">
        <v>83</v>
      </c>
      <c r="H290">
        <v>15</v>
      </c>
      <c r="I290">
        <v>37046.080000000002</v>
      </c>
      <c r="J290" s="2">
        <v>0.15</v>
      </c>
      <c r="K290" t="s">
        <v>31</v>
      </c>
      <c r="L290">
        <v>472337.52</v>
      </c>
      <c r="M290" t="str">
        <f>TEXT(Table1[[#This Row],[OrderDate]], "mmm")</f>
        <v>Jun</v>
      </c>
      <c r="N290" t="str">
        <f>IF(Table1[[#This Row],[TotalSales]]&gt;50000,"High",IF(L290&gt;20000,"Medium","Low"))</f>
        <v>High</v>
      </c>
      <c r="O290">
        <f>Table1[[#This Row],[TotalSales]]/Table1[[#This Row],[Quantity]]</f>
        <v>31489.168000000001</v>
      </c>
    </row>
    <row r="291" spans="1:15" x14ac:dyDescent="0.35">
      <c r="A291" t="s">
        <v>349</v>
      </c>
      <c r="B291" s="1">
        <v>45565</v>
      </c>
      <c r="C291" t="s">
        <v>40</v>
      </c>
      <c r="D291" t="s">
        <v>51</v>
      </c>
      <c r="E291" t="s">
        <v>28</v>
      </c>
      <c r="F291" t="s">
        <v>104</v>
      </c>
      <c r="G291" t="s">
        <v>43</v>
      </c>
      <c r="H291">
        <v>5</v>
      </c>
      <c r="I291">
        <v>48285.75</v>
      </c>
      <c r="J291" s="2">
        <v>0.05</v>
      </c>
      <c r="K291" t="s">
        <v>18</v>
      </c>
      <c r="L291">
        <v>229357.31</v>
      </c>
      <c r="M291" t="str">
        <f>TEXT(Table1[[#This Row],[OrderDate]], "mmm")</f>
        <v>Sep</v>
      </c>
      <c r="N291" t="str">
        <f>IF(Table1[[#This Row],[TotalSales]]&gt;50000,"High",IF(L291&gt;20000,"Medium","Low"))</f>
        <v>High</v>
      </c>
      <c r="O291">
        <f>Table1[[#This Row],[TotalSales]]/Table1[[#This Row],[Quantity]]</f>
        <v>45871.462</v>
      </c>
    </row>
    <row r="292" spans="1:15" x14ac:dyDescent="0.35">
      <c r="A292" t="s">
        <v>350</v>
      </c>
      <c r="B292" s="1">
        <v>45420</v>
      </c>
      <c r="C292" t="s">
        <v>13</v>
      </c>
      <c r="D292" t="s">
        <v>33</v>
      </c>
      <c r="E292" t="s">
        <v>28</v>
      </c>
      <c r="F292" t="s">
        <v>125</v>
      </c>
      <c r="G292" t="s">
        <v>30</v>
      </c>
      <c r="H292">
        <v>3</v>
      </c>
      <c r="I292">
        <v>46198.12</v>
      </c>
      <c r="J292" s="2">
        <v>0.15</v>
      </c>
      <c r="K292" t="s">
        <v>31</v>
      </c>
      <c r="L292">
        <v>117805.21</v>
      </c>
      <c r="M292" t="str">
        <f>TEXT(Table1[[#This Row],[OrderDate]], "mmm")</f>
        <v>May</v>
      </c>
      <c r="N292" t="str">
        <f>IF(Table1[[#This Row],[TotalSales]]&gt;50000,"High",IF(L292&gt;20000,"Medium","Low"))</f>
        <v>High</v>
      </c>
      <c r="O292">
        <f>Table1[[#This Row],[TotalSales]]/Table1[[#This Row],[Quantity]]</f>
        <v>39268.403333333335</v>
      </c>
    </row>
    <row r="293" spans="1:15" x14ac:dyDescent="0.35">
      <c r="A293" t="s">
        <v>351</v>
      </c>
      <c r="B293" s="1">
        <v>45648</v>
      </c>
      <c r="C293" t="s">
        <v>20</v>
      </c>
      <c r="D293" t="s">
        <v>21</v>
      </c>
      <c r="E293" t="s">
        <v>22</v>
      </c>
      <c r="F293" t="s">
        <v>82</v>
      </c>
      <c r="G293" t="s">
        <v>83</v>
      </c>
      <c r="H293">
        <v>5</v>
      </c>
      <c r="I293">
        <v>38172.9</v>
      </c>
      <c r="J293" s="2">
        <v>0</v>
      </c>
      <c r="K293" t="s">
        <v>31</v>
      </c>
      <c r="L293">
        <v>190864.5</v>
      </c>
      <c r="M293" t="str">
        <f>TEXT(Table1[[#This Row],[OrderDate]], "mmm")</f>
        <v>Dec</v>
      </c>
      <c r="N293" t="str">
        <f>IF(Table1[[#This Row],[TotalSales]]&gt;50000,"High",IF(L293&gt;20000,"Medium","Low"))</f>
        <v>High</v>
      </c>
      <c r="O293">
        <f>Table1[[#This Row],[TotalSales]]/Table1[[#This Row],[Quantity]]</f>
        <v>38172.9</v>
      </c>
    </row>
    <row r="294" spans="1:15" x14ac:dyDescent="0.35">
      <c r="A294" t="s">
        <v>352</v>
      </c>
      <c r="B294" s="1">
        <v>45518</v>
      </c>
      <c r="C294" t="s">
        <v>20</v>
      </c>
      <c r="D294" t="s">
        <v>21</v>
      </c>
      <c r="E294" t="s">
        <v>15</v>
      </c>
      <c r="F294" t="s">
        <v>56</v>
      </c>
      <c r="G294" t="s">
        <v>69</v>
      </c>
      <c r="H294">
        <v>14</v>
      </c>
      <c r="I294">
        <v>12560.06</v>
      </c>
      <c r="J294" s="2">
        <v>0.15</v>
      </c>
      <c r="K294" t="s">
        <v>18</v>
      </c>
      <c r="L294">
        <v>149464.71</v>
      </c>
      <c r="M294" t="str">
        <f>TEXT(Table1[[#This Row],[OrderDate]], "mmm")</f>
        <v>Aug</v>
      </c>
      <c r="N294" t="str">
        <f>IF(Table1[[#This Row],[TotalSales]]&gt;50000,"High",IF(L294&gt;20000,"Medium","Low"))</f>
        <v>High</v>
      </c>
      <c r="O294">
        <f>Table1[[#This Row],[TotalSales]]/Table1[[#This Row],[Quantity]]</f>
        <v>10676.050714285713</v>
      </c>
    </row>
    <row r="295" spans="1:15" x14ac:dyDescent="0.35">
      <c r="A295" t="s">
        <v>353</v>
      </c>
      <c r="B295" s="1">
        <v>45330</v>
      </c>
      <c r="C295" t="s">
        <v>20</v>
      </c>
      <c r="D295" t="s">
        <v>21</v>
      </c>
      <c r="E295" t="s">
        <v>28</v>
      </c>
      <c r="F295" t="s">
        <v>104</v>
      </c>
      <c r="G295" t="s">
        <v>24</v>
      </c>
      <c r="H295">
        <v>3</v>
      </c>
      <c r="I295">
        <v>52943.64</v>
      </c>
      <c r="J295" s="2">
        <v>0.15</v>
      </c>
      <c r="K295" t="s">
        <v>18</v>
      </c>
      <c r="L295">
        <v>135006.28</v>
      </c>
      <c r="M295" t="str">
        <f>TEXT(Table1[[#This Row],[OrderDate]], "mmm")</f>
        <v>Feb</v>
      </c>
      <c r="N295" t="str">
        <f>IF(Table1[[#This Row],[TotalSales]]&gt;50000,"High",IF(L295&gt;20000,"Medium","Low"))</f>
        <v>High</v>
      </c>
      <c r="O295">
        <f>Table1[[#This Row],[TotalSales]]/Table1[[#This Row],[Quantity]]</f>
        <v>45002.093333333331</v>
      </c>
    </row>
    <row r="296" spans="1:15" x14ac:dyDescent="0.35">
      <c r="A296" t="s">
        <v>354</v>
      </c>
      <c r="B296" s="1">
        <v>45655</v>
      </c>
      <c r="C296" t="s">
        <v>13</v>
      </c>
      <c r="D296" t="s">
        <v>37</v>
      </c>
      <c r="E296" t="s">
        <v>28</v>
      </c>
      <c r="F296" t="s">
        <v>76</v>
      </c>
      <c r="G296" t="s">
        <v>49</v>
      </c>
      <c r="H296">
        <v>15</v>
      </c>
      <c r="I296">
        <v>8683.35</v>
      </c>
      <c r="J296" s="2">
        <v>0</v>
      </c>
      <c r="K296" t="s">
        <v>25</v>
      </c>
      <c r="L296">
        <v>130250.25</v>
      </c>
      <c r="M296" t="str">
        <f>TEXT(Table1[[#This Row],[OrderDate]], "mmm")</f>
        <v>Dec</v>
      </c>
      <c r="N296" t="str">
        <f>IF(Table1[[#This Row],[TotalSales]]&gt;50000,"High",IF(L296&gt;20000,"Medium","Low"))</f>
        <v>High</v>
      </c>
      <c r="O296">
        <f>Table1[[#This Row],[TotalSales]]/Table1[[#This Row],[Quantity]]</f>
        <v>8683.35</v>
      </c>
    </row>
    <row r="297" spans="1:15" x14ac:dyDescent="0.35">
      <c r="A297" t="s">
        <v>355</v>
      </c>
      <c r="B297" s="1">
        <v>45404</v>
      </c>
      <c r="C297" t="s">
        <v>13</v>
      </c>
      <c r="D297" t="s">
        <v>33</v>
      </c>
      <c r="E297" t="s">
        <v>28</v>
      </c>
      <c r="F297" t="s">
        <v>76</v>
      </c>
      <c r="G297" t="s">
        <v>69</v>
      </c>
      <c r="H297">
        <v>3</v>
      </c>
      <c r="I297">
        <v>28729.22</v>
      </c>
      <c r="J297" s="2">
        <v>0.2</v>
      </c>
      <c r="K297" t="s">
        <v>18</v>
      </c>
      <c r="L297">
        <v>68950.13</v>
      </c>
      <c r="M297" t="str">
        <f>TEXT(Table1[[#This Row],[OrderDate]], "mmm")</f>
        <v>Apr</v>
      </c>
      <c r="N297" t="str">
        <f>IF(Table1[[#This Row],[TotalSales]]&gt;50000,"High",IF(L297&gt;20000,"Medium","Low"))</f>
        <v>High</v>
      </c>
      <c r="O297">
        <f>Table1[[#This Row],[TotalSales]]/Table1[[#This Row],[Quantity]]</f>
        <v>22983.376666666667</v>
      </c>
    </row>
    <row r="298" spans="1:15" x14ac:dyDescent="0.35">
      <c r="A298" t="s">
        <v>356</v>
      </c>
      <c r="B298" s="1">
        <v>45403</v>
      </c>
      <c r="C298" t="s">
        <v>13</v>
      </c>
      <c r="D298" t="s">
        <v>37</v>
      </c>
      <c r="E298" t="s">
        <v>28</v>
      </c>
      <c r="F298" t="s">
        <v>29</v>
      </c>
      <c r="G298" t="s">
        <v>83</v>
      </c>
      <c r="H298">
        <v>13</v>
      </c>
      <c r="I298">
        <v>34081.78</v>
      </c>
      <c r="J298" s="2">
        <v>0.05</v>
      </c>
      <c r="K298" t="s">
        <v>25</v>
      </c>
      <c r="L298">
        <f>(Table1[[#This Row],[Quantity]]*Table1[[#This Row],[UnitPrice]])-(Table1[[#This Row],[Quantity]]*Table1[[#This Row],[UnitPrice]])*Table1[[#This Row],[Discount%]]</f>
        <v>420909.98300000001</v>
      </c>
      <c r="M298" t="str">
        <f>TEXT(Table1[[#This Row],[OrderDate]], "mmm")</f>
        <v>Apr</v>
      </c>
      <c r="N298" t="str">
        <f>IF(Table1[[#This Row],[TotalSales]]&gt;50000,"High",IF(L298&gt;20000,"Medium","Low"))</f>
        <v>High</v>
      </c>
      <c r="O298">
        <f>Table1[[#This Row],[TotalSales]]/Table1[[#This Row],[Quantity]]</f>
        <v>32377.690999999999</v>
      </c>
    </row>
    <row r="299" spans="1:15" x14ac:dyDescent="0.35">
      <c r="A299" t="s">
        <v>357</v>
      </c>
      <c r="B299" s="1">
        <v>45456</v>
      </c>
      <c r="C299" t="s">
        <v>46</v>
      </c>
      <c r="D299" t="s">
        <v>71</v>
      </c>
      <c r="E299" t="s">
        <v>22</v>
      </c>
      <c r="F299" t="s">
        <v>42</v>
      </c>
      <c r="G299" t="s">
        <v>83</v>
      </c>
      <c r="H299">
        <v>7</v>
      </c>
      <c r="I299">
        <v>50393.1</v>
      </c>
      <c r="J299" s="2">
        <v>0</v>
      </c>
      <c r="K299" t="s">
        <v>25</v>
      </c>
      <c r="L299">
        <v>352751.7</v>
      </c>
      <c r="M299" t="str">
        <f>TEXT(Table1[[#This Row],[OrderDate]], "mmm")</f>
        <v>Jun</v>
      </c>
      <c r="N299" t="str">
        <f>IF(Table1[[#This Row],[TotalSales]]&gt;50000,"High",IF(L299&gt;20000,"Medium","Low"))</f>
        <v>High</v>
      </c>
      <c r="O299">
        <f>Table1[[#This Row],[TotalSales]]/Table1[[#This Row],[Quantity]]</f>
        <v>50393.1</v>
      </c>
    </row>
    <row r="300" spans="1:15" x14ac:dyDescent="0.35">
      <c r="A300" t="s">
        <v>358</v>
      </c>
      <c r="B300" s="1">
        <v>45390</v>
      </c>
      <c r="C300" t="s">
        <v>13</v>
      </c>
      <c r="D300" t="s">
        <v>33</v>
      </c>
      <c r="E300" t="s">
        <v>34</v>
      </c>
      <c r="F300" t="s">
        <v>35</v>
      </c>
      <c r="G300" t="s">
        <v>17</v>
      </c>
      <c r="H300">
        <v>6</v>
      </c>
      <c r="I300">
        <v>28361.43</v>
      </c>
      <c r="J300" s="2">
        <v>0</v>
      </c>
      <c r="K300" t="s">
        <v>18</v>
      </c>
      <c r="L300">
        <f>(Table1[[#This Row],[Quantity]]*Table1[[#This Row],[UnitPrice]])-(Table1[[#This Row],[Quantity]]*Table1[[#This Row],[UnitPrice]])*Table1[[#This Row],[Discount%]]</f>
        <v>170168.58000000002</v>
      </c>
      <c r="M300" t="str">
        <f>TEXT(Table1[[#This Row],[OrderDate]], "mmm")</f>
        <v>Apr</v>
      </c>
      <c r="N300" t="str">
        <f>IF(Table1[[#This Row],[TotalSales]]&gt;50000,"High",IF(L300&gt;20000,"Medium","Low"))</f>
        <v>High</v>
      </c>
      <c r="O300">
        <f>Table1[[#This Row],[TotalSales]]/Table1[[#This Row],[Quantity]]</f>
        <v>28361.430000000004</v>
      </c>
    </row>
    <row r="301" spans="1:15" x14ac:dyDescent="0.35">
      <c r="A301" t="s">
        <v>359</v>
      </c>
      <c r="B301" s="1">
        <v>45567</v>
      </c>
      <c r="C301" t="s">
        <v>46</v>
      </c>
      <c r="D301" t="s">
        <v>47</v>
      </c>
      <c r="E301" t="s">
        <v>22</v>
      </c>
      <c r="F301" t="s">
        <v>82</v>
      </c>
      <c r="G301" t="s">
        <v>24</v>
      </c>
      <c r="H301">
        <v>14</v>
      </c>
      <c r="I301">
        <v>38710.31</v>
      </c>
      <c r="J301" s="2">
        <v>0.15</v>
      </c>
      <c r="K301" t="s">
        <v>31</v>
      </c>
      <c r="L301">
        <v>460652.69</v>
      </c>
      <c r="M301" t="str">
        <f>TEXT(Table1[[#This Row],[OrderDate]], "mmm")</f>
        <v>Oct</v>
      </c>
      <c r="N301" t="str">
        <f>IF(Table1[[#This Row],[TotalSales]]&gt;50000,"High",IF(L301&gt;20000,"Medium","Low"))</f>
        <v>High</v>
      </c>
      <c r="O301">
        <f>Table1[[#This Row],[TotalSales]]/Table1[[#This Row],[Quantity]]</f>
        <v>32903.763571428572</v>
      </c>
    </row>
    <row r="302" spans="1:15" x14ac:dyDescent="0.35">
      <c r="A302" t="s">
        <v>360</v>
      </c>
      <c r="B302" s="1">
        <v>45329</v>
      </c>
      <c r="C302" t="s">
        <v>46</v>
      </c>
      <c r="D302" t="s">
        <v>47</v>
      </c>
      <c r="E302" t="s">
        <v>34</v>
      </c>
      <c r="F302" t="s">
        <v>48</v>
      </c>
      <c r="G302" t="s">
        <v>66</v>
      </c>
      <c r="H302">
        <v>1</v>
      </c>
      <c r="I302">
        <v>9953.9699999999993</v>
      </c>
      <c r="J302" s="2">
        <v>0</v>
      </c>
      <c r="K302" t="s">
        <v>25</v>
      </c>
      <c r="L302">
        <v>9953.9699999999993</v>
      </c>
      <c r="M302" t="str">
        <f>TEXT(Table1[[#This Row],[OrderDate]], "mmm")</f>
        <v>Feb</v>
      </c>
      <c r="N302" t="str">
        <f>IF(Table1[[#This Row],[TotalSales]]&gt;50000,"High",IF(L302&gt;20000,"Medium","Low"))</f>
        <v>Low</v>
      </c>
      <c r="O302">
        <f>Table1[[#This Row],[TotalSales]]/Table1[[#This Row],[Quantity]]</f>
        <v>9953.9699999999993</v>
      </c>
    </row>
    <row r="303" spans="1:15" x14ac:dyDescent="0.35">
      <c r="A303" t="s">
        <v>361</v>
      </c>
      <c r="B303" s="1">
        <v>45491</v>
      </c>
      <c r="C303" t="s">
        <v>13</v>
      </c>
      <c r="D303" t="s">
        <v>14</v>
      </c>
      <c r="E303" t="s">
        <v>34</v>
      </c>
      <c r="F303" t="s">
        <v>88</v>
      </c>
      <c r="G303" t="s">
        <v>17</v>
      </c>
      <c r="H303">
        <v>11</v>
      </c>
      <c r="I303">
        <v>6683.16</v>
      </c>
      <c r="J303" s="2">
        <v>0</v>
      </c>
      <c r="K303" t="s">
        <v>44</v>
      </c>
      <c r="L303">
        <v>73514.759999999995</v>
      </c>
      <c r="M303" t="str">
        <f>TEXT(Table1[[#This Row],[OrderDate]], "mmm")</f>
        <v>Jul</v>
      </c>
      <c r="N303" t="str">
        <f>IF(Table1[[#This Row],[TotalSales]]&gt;50000,"High",IF(L303&gt;20000,"Medium","Low"))</f>
        <v>High</v>
      </c>
      <c r="O303">
        <f>Table1[[#This Row],[TotalSales]]/Table1[[#This Row],[Quantity]]</f>
        <v>6683.16</v>
      </c>
    </row>
    <row r="304" spans="1:15" x14ac:dyDescent="0.35">
      <c r="A304" t="s">
        <v>362</v>
      </c>
      <c r="B304" s="1">
        <v>45336</v>
      </c>
      <c r="C304" t="s">
        <v>13</v>
      </c>
      <c r="D304" t="s">
        <v>33</v>
      </c>
      <c r="E304" t="s">
        <v>15</v>
      </c>
      <c r="F304" t="s">
        <v>56</v>
      </c>
      <c r="G304" t="s">
        <v>69</v>
      </c>
      <c r="H304">
        <v>5</v>
      </c>
      <c r="I304">
        <v>42137.03</v>
      </c>
      <c r="J304" s="2">
        <v>0.05</v>
      </c>
      <c r="K304" t="s">
        <v>18</v>
      </c>
      <c r="L304">
        <v>200150.89</v>
      </c>
      <c r="M304" t="str">
        <f>TEXT(Table1[[#This Row],[OrderDate]], "mmm")</f>
        <v>Feb</v>
      </c>
      <c r="N304" t="str">
        <f>IF(Table1[[#This Row],[TotalSales]]&gt;50000,"High",IF(L304&gt;20000,"Medium","Low"))</f>
        <v>High</v>
      </c>
      <c r="O304">
        <f>Table1[[#This Row],[TotalSales]]/Table1[[#This Row],[Quantity]]</f>
        <v>40030.178</v>
      </c>
    </row>
    <row r="305" spans="1:15" x14ac:dyDescent="0.35">
      <c r="A305" t="s">
        <v>363</v>
      </c>
      <c r="B305" s="1">
        <v>45638</v>
      </c>
      <c r="C305" t="s">
        <v>20</v>
      </c>
      <c r="D305" t="s">
        <v>97</v>
      </c>
      <c r="E305" t="s">
        <v>34</v>
      </c>
      <c r="F305" t="s">
        <v>48</v>
      </c>
      <c r="G305" t="s">
        <v>24</v>
      </c>
      <c r="H305">
        <v>15</v>
      </c>
      <c r="I305">
        <v>50296.46</v>
      </c>
      <c r="J305" s="2">
        <v>0.2</v>
      </c>
      <c r="K305" t="s">
        <v>31</v>
      </c>
      <c r="L305">
        <f>(Table1[[#This Row],[Quantity]]*Table1[[#This Row],[UnitPrice]])-(Table1[[#This Row],[Quantity]]*Table1[[#This Row],[UnitPrice]])*Table1[[#This Row],[Discount%]]</f>
        <v>603557.52</v>
      </c>
      <c r="M305" t="str">
        <f>TEXT(Table1[[#This Row],[OrderDate]], "mmm")</f>
        <v>Dec</v>
      </c>
      <c r="N305" t="str">
        <f>IF(Table1[[#This Row],[TotalSales]]&gt;50000,"High",IF(L305&gt;20000,"Medium","Low"))</f>
        <v>High</v>
      </c>
      <c r="O305">
        <f>Table1[[#This Row],[TotalSales]]/Table1[[#This Row],[Quantity]]</f>
        <v>40237.167999999998</v>
      </c>
    </row>
    <row r="306" spans="1:15" x14ac:dyDescent="0.35">
      <c r="A306" t="s">
        <v>364</v>
      </c>
      <c r="B306" s="1">
        <v>45572</v>
      </c>
      <c r="C306" t="s">
        <v>40</v>
      </c>
      <c r="D306" t="s">
        <v>51</v>
      </c>
      <c r="E306" t="s">
        <v>15</v>
      </c>
      <c r="F306" t="s">
        <v>16</v>
      </c>
      <c r="G306" t="s">
        <v>24</v>
      </c>
      <c r="H306">
        <v>2</v>
      </c>
      <c r="I306">
        <v>16897.080000000002</v>
      </c>
      <c r="J306" s="2">
        <v>0.15</v>
      </c>
      <c r="K306" t="s">
        <v>18</v>
      </c>
      <c r="L306">
        <v>28725.040000000001</v>
      </c>
      <c r="M306" t="str">
        <f>TEXT(Table1[[#This Row],[OrderDate]], "mmm")</f>
        <v>Oct</v>
      </c>
      <c r="N306" t="str">
        <f>IF(Table1[[#This Row],[TotalSales]]&gt;50000,"High",IF(L306&gt;20000,"Medium","Low"))</f>
        <v>Medium</v>
      </c>
      <c r="O306">
        <f>Table1[[#This Row],[TotalSales]]/Table1[[#This Row],[Quantity]]</f>
        <v>14362.52</v>
      </c>
    </row>
    <row r="307" spans="1:15" x14ac:dyDescent="0.35">
      <c r="A307" t="s">
        <v>365</v>
      </c>
      <c r="B307" s="1">
        <v>45350</v>
      </c>
      <c r="C307" t="s">
        <v>13</v>
      </c>
      <c r="D307" t="s">
        <v>14</v>
      </c>
      <c r="E307" t="s">
        <v>22</v>
      </c>
      <c r="F307" t="s">
        <v>42</v>
      </c>
      <c r="G307" t="s">
        <v>30</v>
      </c>
      <c r="H307">
        <v>3</v>
      </c>
      <c r="I307">
        <v>36969.589999999997</v>
      </c>
      <c r="J307" s="2">
        <v>0.1</v>
      </c>
      <c r="K307" t="s">
        <v>31</v>
      </c>
      <c r="L307">
        <v>99817.89</v>
      </c>
      <c r="M307" t="str">
        <f>TEXT(Table1[[#This Row],[OrderDate]], "mmm")</f>
        <v>Feb</v>
      </c>
      <c r="N307" t="str">
        <f>IF(Table1[[#This Row],[TotalSales]]&gt;50000,"High",IF(L307&gt;20000,"Medium","Low"))</f>
        <v>High</v>
      </c>
      <c r="O307">
        <f>Table1[[#This Row],[TotalSales]]/Table1[[#This Row],[Quantity]]</f>
        <v>33272.629999999997</v>
      </c>
    </row>
    <row r="308" spans="1:15" x14ac:dyDescent="0.35">
      <c r="A308" t="s">
        <v>366</v>
      </c>
      <c r="B308" s="1">
        <v>45393</v>
      </c>
      <c r="C308" t="s">
        <v>13</v>
      </c>
      <c r="D308" t="s">
        <v>14</v>
      </c>
      <c r="E308" t="s">
        <v>28</v>
      </c>
      <c r="F308" t="s">
        <v>76</v>
      </c>
      <c r="G308" t="s">
        <v>17</v>
      </c>
      <c r="H308">
        <v>12</v>
      </c>
      <c r="I308">
        <v>32016.639999999999</v>
      </c>
      <c r="J308" s="2">
        <v>0</v>
      </c>
      <c r="K308" t="s">
        <v>18</v>
      </c>
      <c r="L308">
        <v>384199.67999999999</v>
      </c>
      <c r="M308" t="str">
        <f>TEXT(Table1[[#This Row],[OrderDate]], "mmm")</f>
        <v>Apr</v>
      </c>
      <c r="N308" t="str">
        <f>IF(Table1[[#This Row],[TotalSales]]&gt;50000,"High",IF(L308&gt;20000,"Medium","Low"))</f>
        <v>High</v>
      </c>
      <c r="O308">
        <f>Table1[[#This Row],[TotalSales]]/Table1[[#This Row],[Quantity]]</f>
        <v>32016.639999999999</v>
      </c>
    </row>
    <row r="309" spans="1:15" x14ac:dyDescent="0.35">
      <c r="A309" t="s">
        <v>367</v>
      </c>
      <c r="B309" s="1">
        <v>45607</v>
      </c>
      <c r="C309" t="s">
        <v>40</v>
      </c>
      <c r="D309" t="s">
        <v>41</v>
      </c>
      <c r="E309" t="s">
        <v>28</v>
      </c>
      <c r="F309" t="s">
        <v>104</v>
      </c>
      <c r="G309" t="s">
        <v>24</v>
      </c>
      <c r="H309">
        <v>11</v>
      </c>
      <c r="I309">
        <v>16951.02</v>
      </c>
      <c r="J309" s="2">
        <v>0.1</v>
      </c>
      <c r="K309" t="s">
        <v>31</v>
      </c>
      <c r="L309">
        <v>167815.1</v>
      </c>
      <c r="M309" t="str">
        <f>TEXT(Table1[[#This Row],[OrderDate]], "mmm")</f>
        <v>Nov</v>
      </c>
      <c r="N309" t="str">
        <f>IF(Table1[[#This Row],[TotalSales]]&gt;50000,"High",IF(L309&gt;20000,"Medium","Low"))</f>
        <v>High</v>
      </c>
      <c r="O309">
        <f>Table1[[#This Row],[TotalSales]]/Table1[[#This Row],[Quantity]]</f>
        <v>15255.918181818182</v>
      </c>
    </row>
    <row r="310" spans="1:15" x14ac:dyDescent="0.35">
      <c r="A310" t="s">
        <v>368</v>
      </c>
      <c r="B310" s="1">
        <v>45620</v>
      </c>
      <c r="C310" t="s">
        <v>20</v>
      </c>
      <c r="D310" t="s">
        <v>21</v>
      </c>
      <c r="E310" t="s">
        <v>28</v>
      </c>
      <c r="F310" t="s">
        <v>125</v>
      </c>
      <c r="G310" t="s">
        <v>83</v>
      </c>
      <c r="H310">
        <v>7</v>
      </c>
      <c r="I310">
        <v>15362.05</v>
      </c>
      <c r="J310" s="2">
        <v>0</v>
      </c>
      <c r="K310" t="s">
        <v>44</v>
      </c>
      <c r="L310">
        <v>107534.35</v>
      </c>
      <c r="M310" t="str">
        <f>TEXT(Table1[[#This Row],[OrderDate]], "mmm")</f>
        <v>Nov</v>
      </c>
      <c r="N310" t="str">
        <f>IF(Table1[[#This Row],[TotalSales]]&gt;50000,"High",IF(L310&gt;20000,"Medium","Low"))</f>
        <v>High</v>
      </c>
      <c r="O310">
        <f>Table1[[#This Row],[TotalSales]]/Table1[[#This Row],[Quantity]]</f>
        <v>15362.050000000001</v>
      </c>
    </row>
    <row r="311" spans="1:15" x14ac:dyDescent="0.35">
      <c r="A311" t="s">
        <v>369</v>
      </c>
      <c r="B311" s="1">
        <v>45602</v>
      </c>
      <c r="C311" t="s">
        <v>20</v>
      </c>
      <c r="D311" t="s">
        <v>21</v>
      </c>
      <c r="E311" t="s">
        <v>34</v>
      </c>
      <c r="F311" t="s">
        <v>35</v>
      </c>
      <c r="G311" t="s">
        <v>17</v>
      </c>
      <c r="H311">
        <v>2</v>
      </c>
      <c r="I311">
        <v>46330.26</v>
      </c>
      <c r="J311" s="2">
        <v>0.2</v>
      </c>
      <c r="K311" t="s">
        <v>31</v>
      </c>
      <c r="L311">
        <v>74128.42</v>
      </c>
      <c r="M311" t="str">
        <f>TEXT(Table1[[#This Row],[OrderDate]], "mmm")</f>
        <v>Nov</v>
      </c>
      <c r="N311" t="str">
        <f>IF(Table1[[#This Row],[TotalSales]]&gt;50000,"High",IF(L311&gt;20000,"Medium","Low"))</f>
        <v>High</v>
      </c>
      <c r="O311">
        <f>Table1[[#This Row],[TotalSales]]/Table1[[#This Row],[Quantity]]</f>
        <v>37064.21</v>
      </c>
    </row>
    <row r="312" spans="1:15" x14ac:dyDescent="0.35">
      <c r="A312" t="s">
        <v>370</v>
      </c>
      <c r="B312" s="1">
        <v>45400</v>
      </c>
      <c r="C312" t="s">
        <v>40</v>
      </c>
      <c r="D312" t="s">
        <v>51</v>
      </c>
      <c r="E312" t="s">
        <v>15</v>
      </c>
      <c r="F312" t="s">
        <v>16</v>
      </c>
      <c r="G312" t="s">
        <v>83</v>
      </c>
      <c r="H312">
        <v>15</v>
      </c>
      <c r="I312">
        <v>2208.77</v>
      </c>
      <c r="J312" s="2">
        <v>0</v>
      </c>
      <c r="K312" t="s">
        <v>25</v>
      </c>
      <c r="L312">
        <v>33131.550000000003</v>
      </c>
      <c r="M312" t="str">
        <f>TEXT(Table1[[#This Row],[OrderDate]], "mmm")</f>
        <v>Apr</v>
      </c>
      <c r="N312" t="str">
        <f>IF(Table1[[#This Row],[TotalSales]]&gt;50000,"High",IF(L312&gt;20000,"Medium","Low"))</f>
        <v>Medium</v>
      </c>
      <c r="O312">
        <f>Table1[[#This Row],[TotalSales]]/Table1[[#This Row],[Quantity]]</f>
        <v>2208.77</v>
      </c>
    </row>
    <row r="313" spans="1:15" x14ac:dyDescent="0.35">
      <c r="A313" t="s">
        <v>371</v>
      </c>
      <c r="B313" s="1">
        <v>45548</v>
      </c>
      <c r="C313" t="s">
        <v>20</v>
      </c>
      <c r="D313" t="s">
        <v>97</v>
      </c>
      <c r="E313" t="s">
        <v>22</v>
      </c>
      <c r="F313" t="s">
        <v>52</v>
      </c>
      <c r="G313" t="s">
        <v>24</v>
      </c>
      <c r="H313">
        <v>9</v>
      </c>
      <c r="I313">
        <v>5162.3599999999997</v>
      </c>
      <c r="J313" s="2">
        <v>0</v>
      </c>
      <c r="K313" t="s">
        <v>18</v>
      </c>
      <c r="L313">
        <v>46461.24</v>
      </c>
      <c r="M313" t="str">
        <f>TEXT(Table1[[#This Row],[OrderDate]], "mmm")</f>
        <v>Sep</v>
      </c>
      <c r="N313" t="str">
        <f>IF(Table1[[#This Row],[TotalSales]]&gt;50000,"High",IF(L313&gt;20000,"Medium","Low"))</f>
        <v>Medium</v>
      </c>
      <c r="O313">
        <f>Table1[[#This Row],[TotalSales]]/Table1[[#This Row],[Quantity]]</f>
        <v>5162.3599999999997</v>
      </c>
    </row>
    <row r="314" spans="1:15" x14ac:dyDescent="0.35">
      <c r="A314" t="s">
        <v>372</v>
      </c>
      <c r="B314" s="1">
        <v>45581</v>
      </c>
      <c r="C314" t="s">
        <v>20</v>
      </c>
      <c r="D314" t="s">
        <v>21</v>
      </c>
      <c r="E314" t="s">
        <v>34</v>
      </c>
      <c r="F314" t="s">
        <v>61</v>
      </c>
      <c r="G314" t="s">
        <v>30</v>
      </c>
      <c r="H314">
        <v>11</v>
      </c>
      <c r="I314">
        <v>47996.29</v>
      </c>
      <c r="J314" s="2">
        <v>0</v>
      </c>
      <c r="K314" t="s">
        <v>18</v>
      </c>
      <c r="L314">
        <v>527959.18999999994</v>
      </c>
      <c r="M314" t="str">
        <f>TEXT(Table1[[#This Row],[OrderDate]], "mmm")</f>
        <v>Oct</v>
      </c>
      <c r="N314" t="str">
        <f>IF(Table1[[#This Row],[TotalSales]]&gt;50000,"High",IF(L314&gt;20000,"Medium","Low"))</f>
        <v>High</v>
      </c>
      <c r="O314">
        <f>Table1[[#This Row],[TotalSales]]/Table1[[#This Row],[Quantity]]</f>
        <v>47996.289999999994</v>
      </c>
    </row>
    <row r="315" spans="1:15" x14ac:dyDescent="0.35">
      <c r="A315" t="s">
        <v>373</v>
      </c>
      <c r="B315" s="1">
        <v>45313</v>
      </c>
      <c r="C315" t="s">
        <v>13</v>
      </c>
      <c r="D315" t="s">
        <v>14</v>
      </c>
      <c r="E315" t="s">
        <v>15</v>
      </c>
      <c r="F315" t="s">
        <v>56</v>
      </c>
      <c r="G315" t="s">
        <v>83</v>
      </c>
      <c r="H315">
        <v>11</v>
      </c>
      <c r="I315">
        <v>11531.22</v>
      </c>
      <c r="J315" s="2">
        <v>0.2</v>
      </c>
      <c r="K315" t="s">
        <v>31</v>
      </c>
      <c r="L315">
        <v>101474.74</v>
      </c>
      <c r="M315" t="str">
        <f>TEXT(Table1[[#This Row],[OrderDate]], "mmm")</f>
        <v>Jan</v>
      </c>
      <c r="N315" t="str">
        <f>IF(Table1[[#This Row],[TotalSales]]&gt;50000,"High",IF(L315&gt;20000,"Medium","Low"))</f>
        <v>High</v>
      </c>
      <c r="O315">
        <f>Table1[[#This Row],[TotalSales]]/Table1[[#This Row],[Quantity]]</f>
        <v>9224.9763636363641</v>
      </c>
    </row>
    <row r="316" spans="1:15" x14ac:dyDescent="0.35">
      <c r="A316" t="s">
        <v>374</v>
      </c>
      <c r="B316" s="1">
        <v>45626</v>
      </c>
      <c r="C316" t="s">
        <v>20</v>
      </c>
      <c r="D316" t="s">
        <v>97</v>
      </c>
      <c r="E316" t="s">
        <v>28</v>
      </c>
      <c r="F316" t="s">
        <v>29</v>
      </c>
      <c r="G316" t="s">
        <v>69</v>
      </c>
      <c r="H316">
        <v>7</v>
      </c>
      <c r="I316">
        <v>20218.259999999998</v>
      </c>
      <c r="J316" s="2">
        <v>0.15</v>
      </c>
      <c r="K316" t="s">
        <v>25</v>
      </c>
      <c r="L316">
        <v>120298.65</v>
      </c>
      <c r="M316" t="str">
        <f>TEXT(Table1[[#This Row],[OrderDate]], "mmm")</f>
        <v>Nov</v>
      </c>
      <c r="N316" t="str">
        <f>IF(Table1[[#This Row],[TotalSales]]&gt;50000,"High",IF(L316&gt;20000,"Medium","Low"))</f>
        <v>High</v>
      </c>
      <c r="O316">
        <f>Table1[[#This Row],[TotalSales]]/Table1[[#This Row],[Quantity]]</f>
        <v>17185.521428571428</v>
      </c>
    </row>
    <row r="317" spans="1:15" x14ac:dyDescent="0.35">
      <c r="A317" t="s">
        <v>375</v>
      </c>
      <c r="B317" s="1">
        <v>45601</v>
      </c>
      <c r="C317" t="s">
        <v>40</v>
      </c>
      <c r="D317" t="s">
        <v>41</v>
      </c>
      <c r="E317" t="s">
        <v>28</v>
      </c>
      <c r="F317" t="s">
        <v>29</v>
      </c>
      <c r="G317" t="s">
        <v>24</v>
      </c>
      <c r="H317">
        <v>1</v>
      </c>
      <c r="I317">
        <v>27700.67</v>
      </c>
      <c r="J317" s="2">
        <v>0</v>
      </c>
      <c r="K317" t="s">
        <v>18</v>
      </c>
      <c r="L317">
        <v>27700.67</v>
      </c>
      <c r="M317" t="str">
        <f>TEXT(Table1[[#This Row],[OrderDate]], "mmm")</f>
        <v>Nov</v>
      </c>
      <c r="N317" t="str">
        <f>IF(Table1[[#This Row],[TotalSales]]&gt;50000,"High",IF(L317&gt;20000,"Medium","Low"))</f>
        <v>Medium</v>
      </c>
      <c r="O317">
        <f>Table1[[#This Row],[TotalSales]]/Table1[[#This Row],[Quantity]]</f>
        <v>27700.67</v>
      </c>
    </row>
    <row r="318" spans="1:15" x14ac:dyDescent="0.35">
      <c r="A318" t="s">
        <v>376</v>
      </c>
      <c r="B318" s="1">
        <v>45409</v>
      </c>
      <c r="C318" t="s">
        <v>46</v>
      </c>
      <c r="D318" t="s">
        <v>71</v>
      </c>
      <c r="E318" t="s">
        <v>22</v>
      </c>
      <c r="F318" t="s">
        <v>52</v>
      </c>
      <c r="G318" t="s">
        <v>66</v>
      </c>
      <c r="H318">
        <v>7</v>
      </c>
      <c r="I318">
        <v>44652.26</v>
      </c>
      <c r="J318" s="2">
        <v>0.15</v>
      </c>
      <c r="K318" t="s">
        <v>31</v>
      </c>
      <c r="L318">
        <v>265680.95</v>
      </c>
      <c r="M318" t="str">
        <f>TEXT(Table1[[#This Row],[OrderDate]], "mmm")</f>
        <v>Apr</v>
      </c>
      <c r="N318" t="str">
        <f>IF(Table1[[#This Row],[TotalSales]]&gt;50000,"High",IF(L318&gt;20000,"Medium","Low"))</f>
        <v>High</v>
      </c>
      <c r="O318">
        <f>Table1[[#This Row],[TotalSales]]/Table1[[#This Row],[Quantity]]</f>
        <v>37954.421428571433</v>
      </c>
    </row>
    <row r="319" spans="1:15" x14ac:dyDescent="0.35">
      <c r="A319" t="s">
        <v>377</v>
      </c>
      <c r="B319" s="1">
        <v>45595</v>
      </c>
      <c r="C319" t="s">
        <v>20</v>
      </c>
      <c r="D319" t="s">
        <v>21</v>
      </c>
      <c r="E319" t="s">
        <v>22</v>
      </c>
      <c r="F319" t="s">
        <v>23</v>
      </c>
      <c r="G319" t="s">
        <v>24</v>
      </c>
      <c r="H319">
        <v>3</v>
      </c>
      <c r="I319">
        <v>7582.88</v>
      </c>
      <c r="J319" s="2">
        <v>0.1</v>
      </c>
      <c r="K319" t="s">
        <v>25</v>
      </c>
      <c r="L319">
        <v>20473.78</v>
      </c>
      <c r="M319" t="str">
        <f>TEXT(Table1[[#This Row],[OrderDate]], "mmm")</f>
        <v>Oct</v>
      </c>
      <c r="N319" t="str">
        <f>IF(Table1[[#This Row],[TotalSales]]&gt;50000,"High",IF(L319&gt;20000,"Medium","Low"))</f>
        <v>Medium</v>
      </c>
      <c r="O319">
        <f>Table1[[#This Row],[TotalSales]]/Table1[[#This Row],[Quantity]]</f>
        <v>6824.5933333333332</v>
      </c>
    </row>
    <row r="320" spans="1:15" x14ac:dyDescent="0.35">
      <c r="A320" t="s">
        <v>378</v>
      </c>
      <c r="B320" s="1">
        <v>45521</v>
      </c>
      <c r="C320" t="s">
        <v>46</v>
      </c>
      <c r="D320" t="s">
        <v>47</v>
      </c>
      <c r="E320" t="s">
        <v>15</v>
      </c>
      <c r="F320" t="s">
        <v>56</v>
      </c>
      <c r="G320" t="s">
        <v>24</v>
      </c>
      <c r="H320">
        <v>10</v>
      </c>
      <c r="I320">
        <v>54604.12</v>
      </c>
      <c r="J320" s="2">
        <v>0.2</v>
      </c>
      <c r="K320" t="s">
        <v>44</v>
      </c>
      <c r="L320">
        <v>436832.96</v>
      </c>
      <c r="M320" t="str">
        <f>TEXT(Table1[[#This Row],[OrderDate]], "mmm")</f>
        <v>Aug</v>
      </c>
      <c r="N320" t="str">
        <f>IF(Table1[[#This Row],[TotalSales]]&gt;50000,"High",IF(L320&gt;20000,"Medium","Low"))</f>
        <v>High</v>
      </c>
      <c r="O320">
        <f>Table1[[#This Row],[TotalSales]]/Table1[[#This Row],[Quantity]]</f>
        <v>43683.296000000002</v>
      </c>
    </row>
    <row r="321" spans="1:15" x14ac:dyDescent="0.35">
      <c r="A321" t="s">
        <v>379</v>
      </c>
      <c r="B321" s="1">
        <v>45594</v>
      </c>
      <c r="C321" t="s">
        <v>40</v>
      </c>
      <c r="D321" t="s">
        <v>51</v>
      </c>
      <c r="E321" t="s">
        <v>22</v>
      </c>
      <c r="F321" t="s">
        <v>52</v>
      </c>
      <c r="G321" t="s">
        <v>66</v>
      </c>
      <c r="H321">
        <v>2</v>
      </c>
      <c r="I321">
        <v>12793.8</v>
      </c>
      <c r="J321" s="2">
        <v>0.05</v>
      </c>
      <c r="K321" t="s">
        <v>18</v>
      </c>
      <c r="L321">
        <v>24308.22</v>
      </c>
      <c r="M321" t="str">
        <f>TEXT(Table1[[#This Row],[OrderDate]], "mmm")</f>
        <v>Oct</v>
      </c>
      <c r="N321" t="str">
        <f>IF(Table1[[#This Row],[TotalSales]]&gt;50000,"High",IF(L321&gt;20000,"Medium","Low"))</f>
        <v>Medium</v>
      </c>
      <c r="O321">
        <f>Table1[[#This Row],[TotalSales]]/Table1[[#This Row],[Quantity]]</f>
        <v>12154.11</v>
      </c>
    </row>
    <row r="322" spans="1:15" x14ac:dyDescent="0.35">
      <c r="A322" t="s">
        <v>380</v>
      </c>
      <c r="B322" s="1">
        <v>45599</v>
      </c>
      <c r="C322" t="s">
        <v>40</v>
      </c>
      <c r="D322" t="s">
        <v>51</v>
      </c>
      <c r="E322" t="s">
        <v>15</v>
      </c>
      <c r="F322" t="s">
        <v>59</v>
      </c>
      <c r="G322" t="s">
        <v>43</v>
      </c>
      <c r="H322">
        <v>1</v>
      </c>
      <c r="I322">
        <v>48300.84</v>
      </c>
      <c r="J322" s="2">
        <v>0.1</v>
      </c>
      <c r="K322" t="s">
        <v>25</v>
      </c>
      <c r="L322">
        <v>43470.76</v>
      </c>
      <c r="M322" t="str">
        <f>TEXT(Table1[[#This Row],[OrderDate]], "mmm")</f>
        <v>Nov</v>
      </c>
      <c r="N322" t="str">
        <f>IF(Table1[[#This Row],[TotalSales]]&gt;50000,"High",IF(L322&gt;20000,"Medium","Low"))</f>
        <v>Medium</v>
      </c>
      <c r="O322">
        <f>Table1[[#This Row],[TotalSales]]/Table1[[#This Row],[Quantity]]</f>
        <v>43470.76</v>
      </c>
    </row>
    <row r="323" spans="1:15" x14ac:dyDescent="0.35">
      <c r="A323" t="s">
        <v>381</v>
      </c>
      <c r="B323" s="1">
        <v>45563</v>
      </c>
      <c r="C323" t="s">
        <v>46</v>
      </c>
      <c r="D323" t="s">
        <v>71</v>
      </c>
      <c r="E323" t="s">
        <v>34</v>
      </c>
      <c r="F323" t="s">
        <v>48</v>
      </c>
      <c r="G323" t="s">
        <v>17</v>
      </c>
      <c r="H323">
        <v>7</v>
      </c>
      <c r="I323">
        <v>12775.85</v>
      </c>
      <c r="J323" s="2">
        <v>0.2</v>
      </c>
      <c r="K323" t="s">
        <v>25</v>
      </c>
      <c r="L323">
        <v>71544.759999999995</v>
      </c>
      <c r="M323" t="str">
        <f>TEXT(Table1[[#This Row],[OrderDate]], "mmm")</f>
        <v>Sep</v>
      </c>
      <c r="N323" t="str">
        <f>IF(Table1[[#This Row],[TotalSales]]&gt;50000,"High",IF(L323&gt;20000,"Medium","Low"))</f>
        <v>High</v>
      </c>
      <c r="O323">
        <f>Table1[[#This Row],[TotalSales]]/Table1[[#This Row],[Quantity]]</f>
        <v>10220.679999999998</v>
      </c>
    </row>
    <row r="324" spans="1:15" x14ac:dyDescent="0.35">
      <c r="A324" t="s">
        <v>382</v>
      </c>
      <c r="B324" s="1">
        <v>45334</v>
      </c>
      <c r="C324" t="s">
        <v>40</v>
      </c>
      <c r="D324" t="s">
        <v>55</v>
      </c>
      <c r="E324" t="s">
        <v>22</v>
      </c>
      <c r="F324" t="s">
        <v>52</v>
      </c>
      <c r="G324" t="s">
        <v>17</v>
      </c>
      <c r="H324">
        <v>5</v>
      </c>
      <c r="I324">
        <v>32986.42</v>
      </c>
      <c r="J324" s="2">
        <v>0.1</v>
      </c>
      <c r="K324" t="s">
        <v>31</v>
      </c>
      <c r="L324">
        <v>148438.89000000001</v>
      </c>
      <c r="M324" t="str">
        <f>TEXT(Table1[[#This Row],[OrderDate]], "mmm")</f>
        <v>Feb</v>
      </c>
      <c r="N324" t="str">
        <f>IF(Table1[[#This Row],[TotalSales]]&gt;50000,"High",IF(L324&gt;20000,"Medium","Low"))</f>
        <v>High</v>
      </c>
      <c r="O324">
        <f>Table1[[#This Row],[TotalSales]]/Table1[[#This Row],[Quantity]]</f>
        <v>29687.778000000002</v>
      </c>
    </row>
    <row r="325" spans="1:15" x14ac:dyDescent="0.35">
      <c r="A325" t="s">
        <v>383</v>
      </c>
      <c r="B325" s="1">
        <v>45477</v>
      </c>
      <c r="C325" t="s">
        <v>13</v>
      </c>
      <c r="D325" t="s">
        <v>37</v>
      </c>
      <c r="E325" t="s">
        <v>34</v>
      </c>
      <c r="F325" t="s">
        <v>61</v>
      </c>
      <c r="G325" t="s">
        <v>49</v>
      </c>
      <c r="H325">
        <v>2</v>
      </c>
      <c r="I325">
        <v>8681.8700000000008</v>
      </c>
      <c r="J325" s="2">
        <v>0.15</v>
      </c>
      <c r="K325" t="s">
        <v>25</v>
      </c>
      <c r="L325">
        <v>14759.18</v>
      </c>
      <c r="M325" t="str">
        <f>TEXT(Table1[[#This Row],[OrderDate]], "mmm")</f>
        <v>Jul</v>
      </c>
      <c r="N325" t="str">
        <f>IF(Table1[[#This Row],[TotalSales]]&gt;50000,"High",IF(L325&gt;20000,"Medium","Low"))</f>
        <v>Low</v>
      </c>
      <c r="O325">
        <f>Table1[[#This Row],[TotalSales]]/Table1[[#This Row],[Quantity]]</f>
        <v>7379.59</v>
      </c>
    </row>
    <row r="326" spans="1:15" x14ac:dyDescent="0.35">
      <c r="A326" t="s">
        <v>384</v>
      </c>
      <c r="B326" s="1">
        <v>45481</v>
      </c>
      <c r="C326" t="s">
        <v>40</v>
      </c>
      <c r="D326" t="s">
        <v>55</v>
      </c>
      <c r="E326" t="s">
        <v>22</v>
      </c>
      <c r="F326" t="s">
        <v>82</v>
      </c>
      <c r="G326" t="s">
        <v>24</v>
      </c>
      <c r="H326">
        <v>9</v>
      </c>
      <c r="I326">
        <v>30609.14</v>
      </c>
      <c r="J326" s="2">
        <v>0</v>
      </c>
      <c r="K326" t="s">
        <v>31</v>
      </c>
      <c r="L326">
        <v>275482.26</v>
      </c>
      <c r="M326" t="str">
        <f>TEXT(Table1[[#This Row],[OrderDate]], "mmm")</f>
        <v>Jul</v>
      </c>
      <c r="N326" t="str">
        <f>IF(Table1[[#This Row],[TotalSales]]&gt;50000,"High",IF(L326&gt;20000,"Medium","Low"))</f>
        <v>High</v>
      </c>
      <c r="O326">
        <f>Table1[[#This Row],[TotalSales]]/Table1[[#This Row],[Quantity]]</f>
        <v>30609.14</v>
      </c>
    </row>
    <row r="327" spans="1:15" x14ac:dyDescent="0.35">
      <c r="A327" t="s">
        <v>385</v>
      </c>
      <c r="B327" s="1">
        <v>45401</v>
      </c>
      <c r="C327" t="s">
        <v>20</v>
      </c>
      <c r="D327" t="s">
        <v>27</v>
      </c>
      <c r="E327" t="s">
        <v>22</v>
      </c>
      <c r="F327" t="s">
        <v>82</v>
      </c>
      <c r="G327" t="s">
        <v>66</v>
      </c>
      <c r="H327">
        <v>9</v>
      </c>
      <c r="I327">
        <v>22150.74</v>
      </c>
      <c r="J327" s="2">
        <v>0</v>
      </c>
      <c r="K327" t="s">
        <v>31</v>
      </c>
      <c r="L327">
        <v>199356.66</v>
      </c>
      <c r="M327" t="str">
        <f>TEXT(Table1[[#This Row],[OrderDate]], "mmm")</f>
        <v>Apr</v>
      </c>
      <c r="N327" t="str">
        <f>IF(Table1[[#This Row],[TotalSales]]&gt;50000,"High",IF(L327&gt;20000,"Medium","Low"))</f>
        <v>High</v>
      </c>
      <c r="O327">
        <f>Table1[[#This Row],[TotalSales]]/Table1[[#This Row],[Quantity]]</f>
        <v>22150.74</v>
      </c>
    </row>
    <row r="328" spans="1:15" x14ac:dyDescent="0.35">
      <c r="A328" t="s">
        <v>386</v>
      </c>
      <c r="B328" s="1">
        <v>45514</v>
      </c>
      <c r="C328" t="s">
        <v>40</v>
      </c>
      <c r="D328" t="s">
        <v>51</v>
      </c>
      <c r="E328" t="s">
        <v>15</v>
      </c>
      <c r="F328" t="s">
        <v>59</v>
      </c>
      <c r="G328" t="s">
        <v>66</v>
      </c>
      <c r="H328">
        <v>2</v>
      </c>
      <c r="I328">
        <v>3711.61</v>
      </c>
      <c r="J328" s="2">
        <v>0</v>
      </c>
      <c r="K328" t="s">
        <v>44</v>
      </c>
      <c r="L328">
        <v>7423.22</v>
      </c>
      <c r="M328" t="str">
        <f>TEXT(Table1[[#This Row],[OrderDate]], "mmm")</f>
        <v>Aug</v>
      </c>
      <c r="N328" t="str">
        <f>IF(Table1[[#This Row],[TotalSales]]&gt;50000,"High",IF(L328&gt;20000,"Medium","Low"))</f>
        <v>Low</v>
      </c>
      <c r="O328">
        <f>Table1[[#This Row],[TotalSales]]/Table1[[#This Row],[Quantity]]</f>
        <v>3711.61</v>
      </c>
    </row>
    <row r="329" spans="1:15" x14ac:dyDescent="0.35">
      <c r="A329" t="s">
        <v>387</v>
      </c>
      <c r="B329" s="1">
        <v>45297</v>
      </c>
      <c r="C329" t="s">
        <v>40</v>
      </c>
      <c r="D329" t="s">
        <v>41</v>
      </c>
      <c r="E329" t="s">
        <v>15</v>
      </c>
      <c r="F329" t="s">
        <v>59</v>
      </c>
      <c r="G329" t="s">
        <v>69</v>
      </c>
      <c r="H329">
        <v>4</v>
      </c>
      <c r="I329">
        <v>46811.11</v>
      </c>
      <c r="J329" s="2">
        <v>0.2</v>
      </c>
      <c r="K329" t="s">
        <v>18</v>
      </c>
      <c r="L329">
        <v>149795.54999999999</v>
      </c>
      <c r="M329" t="str">
        <f>TEXT(Table1[[#This Row],[OrderDate]], "mmm")</f>
        <v>Jan</v>
      </c>
      <c r="N329" t="str">
        <f>IF(Table1[[#This Row],[TotalSales]]&gt;50000,"High",IF(L329&gt;20000,"Medium","Low"))</f>
        <v>High</v>
      </c>
      <c r="O329">
        <f>Table1[[#This Row],[TotalSales]]/Table1[[#This Row],[Quantity]]</f>
        <v>37448.887499999997</v>
      </c>
    </row>
    <row r="330" spans="1:15" x14ac:dyDescent="0.35">
      <c r="A330" t="s">
        <v>388</v>
      </c>
      <c r="B330" s="1">
        <v>45292</v>
      </c>
      <c r="C330" t="s">
        <v>20</v>
      </c>
      <c r="D330" t="s">
        <v>21</v>
      </c>
      <c r="E330" t="s">
        <v>15</v>
      </c>
      <c r="F330" t="s">
        <v>56</v>
      </c>
      <c r="G330" t="s">
        <v>43</v>
      </c>
      <c r="H330">
        <v>3</v>
      </c>
      <c r="I330">
        <v>4958.99</v>
      </c>
      <c r="J330" s="2">
        <v>0</v>
      </c>
      <c r="K330" t="s">
        <v>31</v>
      </c>
      <c r="L330">
        <v>14876.97</v>
      </c>
      <c r="M330" t="str">
        <f>TEXT(Table1[[#This Row],[OrderDate]], "mmm")</f>
        <v>Jan</v>
      </c>
      <c r="N330" t="str">
        <f>IF(Table1[[#This Row],[TotalSales]]&gt;50000,"High",IF(L330&gt;20000,"Medium","Low"))</f>
        <v>Low</v>
      </c>
      <c r="O330">
        <f>Table1[[#This Row],[TotalSales]]/Table1[[#This Row],[Quantity]]</f>
        <v>4958.99</v>
      </c>
    </row>
    <row r="331" spans="1:15" x14ac:dyDescent="0.35">
      <c r="A331" t="s">
        <v>389</v>
      </c>
      <c r="B331" s="1">
        <v>45433</v>
      </c>
      <c r="C331" t="s">
        <v>13</v>
      </c>
      <c r="D331" t="s">
        <v>37</v>
      </c>
      <c r="E331" t="s">
        <v>15</v>
      </c>
      <c r="F331" t="s">
        <v>56</v>
      </c>
      <c r="G331" t="s">
        <v>17</v>
      </c>
      <c r="H331">
        <v>4</v>
      </c>
      <c r="I331">
        <v>33428.71</v>
      </c>
      <c r="J331" s="2">
        <v>0</v>
      </c>
      <c r="K331" t="s">
        <v>31</v>
      </c>
      <c r="L331">
        <v>133714.84</v>
      </c>
      <c r="M331" t="str">
        <f>TEXT(Table1[[#This Row],[OrderDate]], "mmm")</f>
        <v>May</v>
      </c>
      <c r="N331" t="str">
        <f>IF(Table1[[#This Row],[TotalSales]]&gt;50000,"High",IF(L331&gt;20000,"Medium","Low"))</f>
        <v>High</v>
      </c>
      <c r="O331">
        <f>Table1[[#This Row],[TotalSales]]/Table1[[#This Row],[Quantity]]</f>
        <v>33428.71</v>
      </c>
    </row>
    <row r="332" spans="1:15" x14ac:dyDescent="0.35">
      <c r="A332" t="s">
        <v>390</v>
      </c>
      <c r="B332" s="1">
        <v>45423</v>
      </c>
      <c r="C332" t="s">
        <v>46</v>
      </c>
      <c r="D332" t="s">
        <v>71</v>
      </c>
      <c r="E332" t="s">
        <v>28</v>
      </c>
      <c r="F332" t="s">
        <v>29</v>
      </c>
      <c r="G332" t="s">
        <v>69</v>
      </c>
      <c r="H332">
        <v>15</v>
      </c>
      <c r="I332">
        <v>29677.11</v>
      </c>
      <c r="J332" s="2">
        <v>0.2</v>
      </c>
      <c r="K332" t="s">
        <v>44</v>
      </c>
      <c r="L332">
        <v>356125.32</v>
      </c>
      <c r="M332" t="str">
        <f>TEXT(Table1[[#This Row],[OrderDate]], "mmm")</f>
        <v>May</v>
      </c>
      <c r="N332" t="str">
        <f>IF(Table1[[#This Row],[TotalSales]]&gt;50000,"High",IF(L332&gt;20000,"Medium","Low"))</f>
        <v>High</v>
      </c>
      <c r="O332">
        <f>Table1[[#This Row],[TotalSales]]/Table1[[#This Row],[Quantity]]</f>
        <v>23741.688000000002</v>
      </c>
    </row>
    <row r="333" spans="1:15" x14ac:dyDescent="0.35">
      <c r="A333" t="s">
        <v>391</v>
      </c>
      <c r="B333" s="1">
        <v>45351</v>
      </c>
      <c r="C333" t="s">
        <v>46</v>
      </c>
      <c r="D333" t="s">
        <v>79</v>
      </c>
      <c r="E333" t="s">
        <v>34</v>
      </c>
      <c r="F333" t="s">
        <v>88</v>
      </c>
      <c r="G333" t="s">
        <v>66</v>
      </c>
      <c r="H333">
        <v>5</v>
      </c>
      <c r="I333">
        <v>3901.97</v>
      </c>
      <c r="J333" s="2">
        <v>0.15</v>
      </c>
      <c r="K333" t="s">
        <v>44</v>
      </c>
      <c r="L333">
        <v>16583.37</v>
      </c>
      <c r="M333" t="str">
        <f>TEXT(Table1[[#This Row],[OrderDate]], "mmm")</f>
        <v>Feb</v>
      </c>
      <c r="N333" t="str">
        <f>IF(Table1[[#This Row],[TotalSales]]&gt;50000,"High",IF(L333&gt;20000,"Medium","Low"))</f>
        <v>Low</v>
      </c>
      <c r="O333">
        <f>Table1[[#This Row],[TotalSales]]/Table1[[#This Row],[Quantity]]</f>
        <v>3316.674</v>
      </c>
    </row>
    <row r="334" spans="1:15" x14ac:dyDescent="0.35">
      <c r="A334" t="s">
        <v>392</v>
      </c>
      <c r="B334" s="1">
        <v>45339</v>
      </c>
      <c r="C334" t="s">
        <v>20</v>
      </c>
      <c r="D334" t="s">
        <v>97</v>
      </c>
      <c r="E334" t="s">
        <v>15</v>
      </c>
      <c r="F334" t="s">
        <v>56</v>
      </c>
      <c r="G334" t="s">
        <v>69</v>
      </c>
      <c r="H334">
        <v>7</v>
      </c>
      <c r="I334">
        <v>37118.65</v>
      </c>
      <c r="J334" s="2">
        <v>0.2</v>
      </c>
      <c r="K334" t="s">
        <v>44</v>
      </c>
      <c r="L334">
        <v>207864.44</v>
      </c>
      <c r="M334" t="str">
        <f>TEXT(Table1[[#This Row],[OrderDate]], "mmm")</f>
        <v>Feb</v>
      </c>
      <c r="N334" t="str">
        <f>IF(Table1[[#This Row],[TotalSales]]&gt;50000,"High",IF(L334&gt;20000,"Medium","Low"))</f>
        <v>High</v>
      </c>
      <c r="O334">
        <f>Table1[[#This Row],[TotalSales]]/Table1[[#This Row],[Quantity]]</f>
        <v>29694.920000000002</v>
      </c>
    </row>
    <row r="335" spans="1:15" x14ac:dyDescent="0.35">
      <c r="A335" t="s">
        <v>393</v>
      </c>
      <c r="B335" s="1">
        <v>45394</v>
      </c>
      <c r="C335" t="s">
        <v>40</v>
      </c>
      <c r="D335" t="s">
        <v>51</v>
      </c>
      <c r="E335" t="s">
        <v>22</v>
      </c>
      <c r="F335" t="s">
        <v>42</v>
      </c>
      <c r="G335" t="s">
        <v>83</v>
      </c>
      <c r="H335">
        <v>4</v>
      </c>
      <c r="I335">
        <v>40501.51</v>
      </c>
      <c r="J335" s="2">
        <v>0.2</v>
      </c>
      <c r="K335" t="s">
        <v>18</v>
      </c>
      <c r="L335">
        <v>129604.83</v>
      </c>
      <c r="M335" t="str">
        <f>TEXT(Table1[[#This Row],[OrderDate]], "mmm")</f>
        <v>Apr</v>
      </c>
      <c r="N335" t="str">
        <f>IF(Table1[[#This Row],[TotalSales]]&gt;50000,"High",IF(L335&gt;20000,"Medium","Low"))</f>
        <v>High</v>
      </c>
      <c r="O335">
        <f>Table1[[#This Row],[TotalSales]]/Table1[[#This Row],[Quantity]]</f>
        <v>32401.2075</v>
      </c>
    </row>
    <row r="336" spans="1:15" x14ac:dyDescent="0.35">
      <c r="A336" t="s">
        <v>394</v>
      </c>
      <c r="B336" s="1">
        <v>45631</v>
      </c>
      <c r="C336" t="s">
        <v>46</v>
      </c>
      <c r="D336" t="s">
        <v>71</v>
      </c>
      <c r="E336" t="s">
        <v>15</v>
      </c>
      <c r="F336" t="s">
        <v>16</v>
      </c>
      <c r="G336" t="s">
        <v>83</v>
      </c>
      <c r="H336">
        <v>8</v>
      </c>
      <c r="I336">
        <v>33837.72</v>
      </c>
      <c r="J336" s="2">
        <v>0.2</v>
      </c>
      <c r="K336" t="s">
        <v>25</v>
      </c>
      <c r="L336">
        <v>216561.41</v>
      </c>
      <c r="M336" t="str">
        <f>TEXT(Table1[[#This Row],[OrderDate]], "mmm")</f>
        <v>Dec</v>
      </c>
      <c r="N336" t="str">
        <f>IF(Table1[[#This Row],[TotalSales]]&gt;50000,"High",IF(L336&gt;20000,"Medium","Low"))</f>
        <v>High</v>
      </c>
      <c r="O336">
        <f>Table1[[#This Row],[TotalSales]]/Table1[[#This Row],[Quantity]]</f>
        <v>27070.17625</v>
      </c>
    </row>
    <row r="337" spans="1:15" x14ac:dyDescent="0.35">
      <c r="A337" t="s">
        <v>395</v>
      </c>
      <c r="B337" s="1">
        <v>45435</v>
      </c>
      <c r="C337" t="s">
        <v>20</v>
      </c>
      <c r="D337" t="s">
        <v>21</v>
      </c>
      <c r="E337" t="s">
        <v>28</v>
      </c>
      <c r="F337" t="s">
        <v>104</v>
      </c>
      <c r="G337" t="s">
        <v>43</v>
      </c>
      <c r="H337">
        <v>7</v>
      </c>
      <c r="I337">
        <v>12370.68</v>
      </c>
      <c r="J337" s="2">
        <v>0.1</v>
      </c>
      <c r="K337" t="s">
        <v>44</v>
      </c>
      <c r="L337">
        <v>77935.28</v>
      </c>
      <c r="M337" t="str">
        <f>TEXT(Table1[[#This Row],[OrderDate]], "mmm")</f>
        <v>May</v>
      </c>
      <c r="N337" t="str">
        <f>IF(Table1[[#This Row],[TotalSales]]&gt;50000,"High",IF(L337&gt;20000,"Medium","Low"))</f>
        <v>High</v>
      </c>
      <c r="O337">
        <f>Table1[[#This Row],[TotalSales]]/Table1[[#This Row],[Quantity]]</f>
        <v>11133.611428571428</v>
      </c>
    </row>
    <row r="338" spans="1:15" x14ac:dyDescent="0.35">
      <c r="A338" t="s">
        <v>396</v>
      </c>
      <c r="B338" s="1">
        <v>45649</v>
      </c>
      <c r="C338" t="s">
        <v>40</v>
      </c>
      <c r="D338" t="s">
        <v>55</v>
      </c>
      <c r="E338" t="s">
        <v>34</v>
      </c>
      <c r="F338" t="s">
        <v>61</v>
      </c>
      <c r="G338" t="s">
        <v>83</v>
      </c>
      <c r="H338">
        <v>9</v>
      </c>
      <c r="I338">
        <v>25411.87</v>
      </c>
      <c r="J338" s="2">
        <v>0.15</v>
      </c>
      <c r="K338" t="s">
        <v>44</v>
      </c>
      <c r="L338">
        <v>194400.81</v>
      </c>
      <c r="M338" t="str">
        <f>TEXT(Table1[[#This Row],[OrderDate]], "mmm")</f>
        <v>Dec</v>
      </c>
      <c r="N338" t="str">
        <f>IF(Table1[[#This Row],[TotalSales]]&gt;50000,"High",IF(L338&gt;20000,"Medium","Low"))</f>
        <v>High</v>
      </c>
      <c r="O338">
        <f>Table1[[#This Row],[TotalSales]]/Table1[[#This Row],[Quantity]]</f>
        <v>21600.09</v>
      </c>
    </row>
    <row r="339" spans="1:15" x14ac:dyDescent="0.35">
      <c r="A339" t="s">
        <v>397</v>
      </c>
      <c r="B339" s="1">
        <v>45533</v>
      </c>
      <c r="C339" t="s">
        <v>20</v>
      </c>
      <c r="D339" t="s">
        <v>97</v>
      </c>
      <c r="E339" t="s">
        <v>22</v>
      </c>
      <c r="F339" t="s">
        <v>52</v>
      </c>
      <c r="G339" t="s">
        <v>66</v>
      </c>
      <c r="H339">
        <v>10</v>
      </c>
      <c r="I339">
        <v>19001.689999999999</v>
      </c>
      <c r="J339" s="2">
        <v>0</v>
      </c>
      <c r="K339" t="s">
        <v>44</v>
      </c>
      <c r="L339">
        <v>190016.9</v>
      </c>
      <c r="M339" t="str">
        <f>TEXT(Table1[[#This Row],[OrderDate]], "mmm")</f>
        <v>Aug</v>
      </c>
      <c r="N339" t="str">
        <f>IF(Table1[[#This Row],[TotalSales]]&gt;50000,"High",IF(L339&gt;20000,"Medium","Low"))</f>
        <v>High</v>
      </c>
      <c r="O339">
        <f>Table1[[#This Row],[TotalSales]]/Table1[[#This Row],[Quantity]]</f>
        <v>19001.689999999999</v>
      </c>
    </row>
    <row r="340" spans="1:15" x14ac:dyDescent="0.35">
      <c r="A340" t="s">
        <v>398</v>
      </c>
      <c r="B340" s="1">
        <v>45643</v>
      </c>
      <c r="C340" t="s">
        <v>20</v>
      </c>
      <c r="D340" t="s">
        <v>21</v>
      </c>
      <c r="E340" t="s">
        <v>34</v>
      </c>
      <c r="F340" t="s">
        <v>61</v>
      </c>
      <c r="G340" t="s">
        <v>24</v>
      </c>
      <c r="H340">
        <v>4</v>
      </c>
      <c r="I340">
        <v>44817.65</v>
      </c>
      <c r="J340" s="2">
        <v>0.15</v>
      </c>
      <c r="K340" t="s">
        <v>18</v>
      </c>
      <c r="L340">
        <v>152380.01</v>
      </c>
      <c r="M340" t="str">
        <f>TEXT(Table1[[#This Row],[OrderDate]], "mmm")</f>
        <v>Dec</v>
      </c>
      <c r="N340" t="str">
        <f>IF(Table1[[#This Row],[TotalSales]]&gt;50000,"High",IF(L340&gt;20000,"Medium","Low"))</f>
        <v>High</v>
      </c>
      <c r="O340">
        <f>Table1[[#This Row],[TotalSales]]/Table1[[#This Row],[Quantity]]</f>
        <v>38095.002500000002</v>
      </c>
    </row>
    <row r="341" spans="1:15" x14ac:dyDescent="0.35">
      <c r="A341" t="s">
        <v>399</v>
      </c>
      <c r="B341" s="1">
        <v>45547</v>
      </c>
      <c r="C341" t="s">
        <v>20</v>
      </c>
      <c r="D341" t="s">
        <v>97</v>
      </c>
      <c r="E341" t="s">
        <v>34</v>
      </c>
      <c r="F341" t="s">
        <v>35</v>
      </c>
      <c r="G341" t="s">
        <v>49</v>
      </c>
      <c r="H341">
        <v>3</v>
      </c>
      <c r="I341">
        <v>54756.79</v>
      </c>
      <c r="J341" s="2">
        <v>0.2</v>
      </c>
      <c r="K341" t="s">
        <v>31</v>
      </c>
      <c r="L341">
        <v>131416.29999999999</v>
      </c>
      <c r="M341" t="str">
        <f>TEXT(Table1[[#This Row],[OrderDate]], "mmm")</f>
        <v>Sep</v>
      </c>
      <c r="N341" t="str">
        <f>IF(Table1[[#This Row],[TotalSales]]&gt;50000,"High",IF(L341&gt;20000,"Medium","Low"))</f>
        <v>High</v>
      </c>
      <c r="O341">
        <f>Table1[[#This Row],[TotalSales]]/Table1[[#This Row],[Quantity]]</f>
        <v>43805.433333333327</v>
      </c>
    </row>
    <row r="342" spans="1:15" x14ac:dyDescent="0.35">
      <c r="A342" t="s">
        <v>400</v>
      </c>
      <c r="B342" s="1">
        <v>45402</v>
      </c>
      <c r="C342" t="s">
        <v>20</v>
      </c>
      <c r="D342" t="s">
        <v>27</v>
      </c>
      <c r="E342" t="s">
        <v>34</v>
      </c>
      <c r="F342" t="s">
        <v>35</v>
      </c>
      <c r="G342" t="s">
        <v>49</v>
      </c>
      <c r="H342">
        <v>14</v>
      </c>
      <c r="I342">
        <v>14135.07</v>
      </c>
      <c r="J342" s="2">
        <v>0.2</v>
      </c>
      <c r="K342" t="s">
        <v>44</v>
      </c>
      <c r="L342">
        <v>158312.78</v>
      </c>
      <c r="M342" t="str">
        <f>TEXT(Table1[[#This Row],[OrderDate]], "mmm")</f>
        <v>Apr</v>
      </c>
      <c r="N342" t="str">
        <f>IF(Table1[[#This Row],[TotalSales]]&gt;50000,"High",IF(L342&gt;20000,"Medium","Low"))</f>
        <v>High</v>
      </c>
      <c r="O342">
        <f>Table1[[#This Row],[TotalSales]]/Table1[[#This Row],[Quantity]]</f>
        <v>11308.055714285714</v>
      </c>
    </row>
    <row r="343" spans="1:15" x14ac:dyDescent="0.35">
      <c r="A343" t="s">
        <v>401</v>
      </c>
      <c r="B343" s="1">
        <v>45639</v>
      </c>
      <c r="C343" t="s">
        <v>46</v>
      </c>
      <c r="D343" t="s">
        <v>79</v>
      </c>
      <c r="E343" t="s">
        <v>15</v>
      </c>
      <c r="F343" t="s">
        <v>38</v>
      </c>
      <c r="G343" t="s">
        <v>83</v>
      </c>
      <c r="H343">
        <v>10</v>
      </c>
      <c r="I343">
        <v>11102.9</v>
      </c>
      <c r="J343" s="2">
        <v>0.1</v>
      </c>
      <c r="K343" t="s">
        <v>25</v>
      </c>
      <c r="L343">
        <v>99926.1</v>
      </c>
      <c r="M343" t="str">
        <f>TEXT(Table1[[#This Row],[OrderDate]], "mmm")</f>
        <v>Dec</v>
      </c>
      <c r="N343" t="str">
        <f>IF(Table1[[#This Row],[TotalSales]]&gt;50000,"High",IF(L343&gt;20000,"Medium","Low"))</f>
        <v>High</v>
      </c>
      <c r="O343">
        <f>Table1[[#This Row],[TotalSales]]/Table1[[#This Row],[Quantity]]</f>
        <v>9992.61</v>
      </c>
    </row>
    <row r="344" spans="1:15" x14ac:dyDescent="0.35">
      <c r="A344" t="s">
        <v>402</v>
      </c>
      <c r="B344" s="1">
        <v>45438</v>
      </c>
      <c r="C344" t="s">
        <v>40</v>
      </c>
      <c r="D344" t="s">
        <v>51</v>
      </c>
      <c r="E344" t="s">
        <v>34</v>
      </c>
      <c r="F344" t="s">
        <v>35</v>
      </c>
      <c r="G344" t="s">
        <v>66</v>
      </c>
      <c r="H344">
        <v>8</v>
      </c>
      <c r="I344">
        <v>34817.83</v>
      </c>
      <c r="J344" s="2">
        <v>0</v>
      </c>
      <c r="K344" t="s">
        <v>31</v>
      </c>
      <c r="L344">
        <v>278542.64</v>
      </c>
      <c r="M344" t="str">
        <f>TEXT(Table1[[#This Row],[OrderDate]], "mmm")</f>
        <v>May</v>
      </c>
      <c r="N344" t="str">
        <f>IF(Table1[[#This Row],[TotalSales]]&gt;50000,"High",IF(L344&gt;20000,"Medium","Low"))</f>
        <v>High</v>
      </c>
      <c r="O344">
        <f>Table1[[#This Row],[TotalSales]]/Table1[[#This Row],[Quantity]]</f>
        <v>34817.83</v>
      </c>
    </row>
    <row r="345" spans="1:15" x14ac:dyDescent="0.35">
      <c r="A345" t="s">
        <v>403</v>
      </c>
      <c r="B345" s="1">
        <v>45452</v>
      </c>
      <c r="C345" t="s">
        <v>13</v>
      </c>
      <c r="D345" t="s">
        <v>14</v>
      </c>
      <c r="E345" t="s">
        <v>15</v>
      </c>
      <c r="F345" t="s">
        <v>59</v>
      </c>
      <c r="G345" t="s">
        <v>83</v>
      </c>
      <c r="H345">
        <v>6</v>
      </c>
      <c r="I345">
        <v>35985.120000000003</v>
      </c>
      <c r="J345" s="2">
        <v>0.15</v>
      </c>
      <c r="K345" t="s">
        <v>25</v>
      </c>
      <c r="L345">
        <v>183524.11</v>
      </c>
      <c r="M345" t="str">
        <f>TEXT(Table1[[#This Row],[OrderDate]], "mmm")</f>
        <v>Jun</v>
      </c>
      <c r="N345" t="str">
        <f>IF(Table1[[#This Row],[TotalSales]]&gt;50000,"High",IF(L345&gt;20000,"Medium","Low"))</f>
        <v>High</v>
      </c>
      <c r="O345">
        <f>Table1[[#This Row],[TotalSales]]/Table1[[#This Row],[Quantity]]</f>
        <v>30587.351666666666</v>
      </c>
    </row>
    <row r="346" spans="1:15" x14ac:dyDescent="0.35">
      <c r="A346" t="s">
        <v>404</v>
      </c>
      <c r="B346" s="1">
        <v>45356</v>
      </c>
      <c r="C346" t="s">
        <v>20</v>
      </c>
      <c r="D346" t="s">
        <v>27</v>
      </c>
      <c r="E346" t="s">
        <v>34</v>
      </c>
      <c r="F346" t="s">
        <v>61</v>
      </c>
      <c r="G346" t="s">
        <v>17</v>
      </c>
      <c r="H346">
        <v>12</v>
      </c>
      <c r="I346">
        <v>13057.57</v>
      </c>
      <c r="J346" s="2">
        <v>0</v>
      </c>
      <c r="K346" t="s">
        <v>31</v>
      </c>
      <c r="L346">
        <v>156690.84</v>
      </c>
      <c r="M346" t="str">
        <f>TEXT(Table1[[#This Row],[OrderDate]], "mmm")</f>
        <v>Mar</v>
      </c>
      <c r="N346" t="str">
        <f>IF(Table1[[#This Row],[TotalSales]]&gt;50000,"High",IF(L346&gt;20000,"Medium","Low"))</f>
        <v>High</v>
      </c>
      <c r="O346">
        <f>Table1[[#This Row],[TotalSales]]/Table1[[#This Row],[Quantity]]</f>
        <v>13057.57</v>
      </c>
    </row>
    <row r="347" spans="1:15" x14ac:dyDescent="0.35">
      <c r="A347" t="s">
        <v>405</v>
      </c>
      <c r="B347" s="1">
        <v>45495</v>
      </c>
      <c r="C347" t="s">
        <v>46</v>
      </c>
      <c r="D347" t="s">
        <v>47</v>
      </c>
      <c r="E347" t="s">
        <v>15</v>
      </c>
      <c r="F347" t="s">
        <v>38</v>
      </c>
      <c r="G347" t="s">
        <v>66</v>
      </c>
      <c r="H347">
        <v>9</v>
      </c>
      <c r="I347">
        <v>42121.8</v>
      </c>
      <c r="J347" s="2">
        <v>0</v>
      </c>
      <c r="K347" t="s">
        <v>44</v>
      </c>
      <c r="L347">
        <v>379096.2</v>
      </c>
      <c r="M347" t="str">
        <f>TEXT(Table1[[#This Row],[OrderDate]], "mmm")</f>
        <v>Jul</v>
      </c>
      <c r="N347" t="str">
        <f>IF(Table1[[#This Row],[TotalSales]]&gt;50000,"High",IF(L347&gt;20000,"Medium","Low"))</f>
        <v>High</v>
      </c>
      <c r="O347">
        <f>Table1[[#This Row],[TotalSales]]/Table1[[#This Row],[Quantity]]</f>
        <v>42121.8</v>
      </c>
    </row>
    <row r="348" spans="1:15" x14ac:dyDescent="0.35">
      <c r="A348" t="s">
        <v>406</v>
      </c>
      <c r="B348" s="1">
        <v>45612</v>
      </c>
      <c r="C348" t="s">
        <v>13</v>
      </c>
      <c r="D348" t="s">
        <v>37</v>
      </c>
      <c r="E348" t="s">
        <v>22</v>
      </c>
      <c r="F348" t="s">
        <v>42</v>
      </c>
      <c r="G348" t="s">
        <v>30</v>
      </c>
      <c r="H348">
        <v>3</v>
      </c>
      <c r="I348">
        <v>7393.99</v>
      </c>
      <c r="J348" s="2">
        <v>0.2</v>
      </c>
      <c r="K348" t="s">
        <v>25</v>
      </c>
      <c r="L348">
        <v>17745.580000000002</v>
      </c>
      <c r="M348" t="str">
        <f>TEXT(Table1[[#This Row],[OrderDate]], "mmm")</f>
        <v>Nov</v>
      </c>
      <c r="N348" t="str">
        <f>IF(Table1[[#This Row],[TotalSales]]&gt;50000,"High",IF(L348&gt;20000,"Medium","Low"))</f>
        <v>Low</v>
      </c>
      <c r="O348">
        <f>Table1[[#This Row],[TotalSales]]/Table1[[#This Row],[Quantity]]</f>
        <v>5915.1933333333336</v>
      </c>
    </row>
    <row r="349" spans="1:15" x14ac:dyDescent="0.35">
      <c r="A349" t="s">
        <v>407</v>
      </c>
      <c r="B349" s="1">
        <v>45568</v>
      </c>
      <c r="C349" t="s">
        <v>20</v>
      </c>
      <c r="D349" t="s">
        <v>21</v>
      </c>
      <c r="E349" t="s">
        <v>28</v>
      </c>
      <c r="F349" t="s">
        <v>104</v>
      </c>
      <c r="G349" t="s">
        <v>49</v>
      </c>
      <c r="H349">
        <v>3</v>
      </c>
      <c r="I349">
        <v>32577.53</v>
      </c>
      <c r="J349" s="2">
        <v>0.05</v>
      </c>
      <c r="K349" t="s">
        <v>44</v>
      </c>
      <c r="L349">
        <v>92845.96</v>
      </c>
      <c r="M349" t="str">
        <f>TEXT(Table1[[#This Row],[OrderDate]], "mmm")</f>
        <v>Oct</v>
      </c>
      <c r="N349" t="str">
        <f>IF(Table1[[#This Row],[TotalSales]]&gt;50000,"High",IF(L349&gt;20000,"Medium","Low"))</f>
        <v>High</v>
      </c>
      <c r="O349">
        <f>Table1[[#This Row],[TotalSales]]/Table1[[#This Row],[Quantity]]</f>
        <v>30948.653333333335</v>
      </c>
    </row>
    <row r="350" spans="1:15" x14ac:dyDescent="0.35">
      <c r="A350" t="s">
        <v>408</v>
      </c>
      <c r="B350" s="1">
        <v>45449</v>
      </c>
      <c r="C350" t="s">
        <v>46</v>
      </c>
      <c r="D350" t="s">
        <v>79</v>
      </c>
      <c r="E350" t="s">
        <v>34</v>
      </c>
      <c r="F350" t="s">
        <v>61</v>
      </c>
      <c r="G350" t="s">
        <v>83</v>
      </c>
      <c r="H350">
        <v>6</v>
      </c>
      <c r="I350">
        <v>22788.77</v>
      </c>
      <c r="J350" s="2">
        <v>0</v>
      </c>
      <c r="K350" t="s">
        <v>44</v>
      </c>
      <c r="L350">
        <v>136732.62</v>
      </c>
      <c r="M350" t="str">
        <f>TEXT(Table1[[#This Row],[OrderDate]], "mmm")</f>
        <v>Jun</v>
      </c>
      <c r="N350" t="str">
        <f>IF(Table1[[#This Row],[TotalSales]]&gt;50000,"High",IF(L350&gt;20000,"Medium","Low"))</f>
        <v>High</v>
      </c>
      <c r="O350">
        <f>Table1[[#This Row],[TotalSales]]/Table1[[#This Row],[Quantity]]</f>
        <v>22788.77</v>
      </c>
    </row>
    <row r="351" spans="1:15" x14ac:dyDescent="0.35">
      <c r="A351" t="s">
        <v>409</v>
      </c>
      <c r="B351" s="1">
        <v>45445</v>
      </c>
      <c r="C351" t="s">
        <v>40</v>
      </c>
      <c r="D351" t="s">
        <v>41</v>
      </c>
      <c r="E351" t="s">
        <v>34</v>
      </c>
      <c r="F351" t="s">
        <v>35</v>
      </c>
      <c r="G351" t="s">
        <v>66</v>
      </c>
      <c r="H351">
        <v>1</v>
      </c>
      <c r="I351">
        <v>42169.63</v>
      </c>
      <c r="J351" s="2">
        <v>0.2</v>
      </c>
      <c r="K351" t="s">
        <v>25</v>
      </c>
      <c r="L351">
        <v>33735.699999999997</v>
      </c>
      <c r="M351" t="str">
        <f>TEXT(Table1[[#This Row],[OrderDate]], "mmm")</f>
        <v>Jun</v>
      </c>
      <c r="N351" t="str">
        <f>IF(Table1[[#This Row],[TotalSales]]&gt;50000,"High",IF(L351&gt;20000,"Medium","Low"))</f>
        <v>Medium</v>
      </c>
      <c r="O351">
        <f>Table1[[#This Row],[TotalSales]]/Table1[[#This Row],[Quantity]]</f>
        <v>33735.699999999997</v>
      </c>
    </row>
    <row r="352" spans="1:15" x14ac:dyDescent="0.35">
      <c r="A352" t="s">
        <v>410</v>
      </c>
      <c r="B352" s="1">
        <v>45622</v>
      </c>
      <c r="C352" t="s">
        <v>20</v>
      </c>
      <c r="D352" t="s">
        <v>21</v>
      </c>
      <c r="E352" t="s">
        <v>34</v>
      </c>
      <c r="F352" t="s">
        <v>61</v>
      </c>
      <c r="G352" t="s">
        <v>49</v>
      </c>
      <c r="H352">
        <v>7</v>
      </c>
      <c r="I352">
        <v>45597.79</v>
      </c>
      <c r="J352" s="2">
        <v>0</v>
      </c>
      <c r="K352" t="s">
        <v>44</v>
      </c>
      <c r="L352">
        <v>319184.53000000003</v>
      </c>
      <c r="M352" t="str">
        <f>TEXT(Table1[[#This Row],[OrderDate]], "mmm")</f>
        <v>Nov</v>
      </c>
      <c r="N352" t="str">
        <f>IF(Table1[[#This Row],[TotalSales]]&gt;50000,"High",IF(L352&gt;20000,"Medium","Low"))</f>
        <v>High</v>
      </c>
      <c r="O352">
        <f>Table1[[#This Row],[TotalSales]]/Table1[[#This Row],[Quantity]]</f>
        <v>45597.79</v>
      </c>
    </row>
    <row r="353" spans="1:15" x14ac:dyDescent="0.35">
      <c r="A353" t="s">
        <v>411</v>
      </c>
      <c r="B353" s="1">
        <v>45385</v>
      </c>
      <c r="C353" t="s">
        <v>20</v>
      </c>
      <c r="D353" t="s">
        <v>27</v>
      </c>
      <c r="E353" t="s">
        <v>28</v>
      </c>
      <c r="F353" t="s">
        <v>104</v>
      </c>
      <c r="G353" t="s">
        <v>83</v>
      </c>
      <c r="H353">
        <v>3</v>
      </c>
      <c r="I353">
        <v>16069.82</v>
      </c>
      <c r="J353" s="2">
        <v>0.15</v>
      </c>
      <c r="K353" t="s">
        <v>31</v>
      </c>
      <c r="L353">
        <v>40978.04</v>
      </c>
      <c r="M353" t="str">
        <f>TEXT(Table1[[#This Row],[OrderDate]], "mmm")</f>
        <v>Apr</v>
      </c>
      <c r="N353" t="str">
        <f>IF(Table1[[#This Row],[TotalSales]]&gt;50000,"High",IF(L353&gt;20000,"Medium","Low"))</f>
        <v>Medium</v>
      </c>
      <c r="O353">
        <f>Table1[[#This Row],[TotalSales]]/Table1[[#This Row],[Quantity]]</f>
        <v>13659.346666666666</v>
      </c>
    </row>
    <row r="354" spans="1:15" x14ac:dyDescent="0.35">
      <c r="A354" t="s">
        <v>412</v>
      </c>
      <c r="B354" s="1">
        <v>45344</v>
      </c>
      <c r="C354" t="s">
        <v>46</v>
      </c>
      <c r="D354" t="s">
        <v>47</v>
      </c>
      <c r="E354" t="s">
        <v>22</v>
      </c>
      <c r="F354" t="s">
        <v>23</v>
      </c>
      <c r="G354" t="s">
        <v>69</v>
      </c>
      <c r="H354">
        <v>5</v>
      </c>
      <c r="I354">
        <v>14951.89</v>
      </c>
      <c r="J354" s="2">
        <v>0.15</v>
      </c>
      <c r="K354" t="s">
        <v>44</v>
      </c>
      <c r="L354">
        <f>(Table1[[#This Row],[Quantity]]*Table1[[#This Row],[UnitPrice]])-(Table1[[#This Row],[Quantity]]*Table1[[#This Row],[UnitPrice]])*Table1[[#This Row],[Discount%]]</f>
        <v>63545.532500000001</v>
      </c>
      <c r="M354" t="str">
        <f>TEXT(Table1[[#This Row],[OrderDate]], "mmm")</f>
        <v>Feb</v>
      </c>
      <c r="N354" t="str">
        <f>IF(Table1[[#This Row],[TotalSales]]&gt;50000,"High",IF(L354&gt;20000,"Medium","Low"))</f>
        <v>High</v>
      </c>
      <c r="O354">
        <f>Table1[[#This Row],[TotalSales]]/Table1[[#This Row],[Quantity]]</f>
        <v>12709.1065</v>
      </c>
    </row>
    <row r="355" spans="1:15" x14ac:dyDescent="0.35">
      <c r="A355" t="s">
        <v>413</v>
      </c>
      <c r="B355" s="1">
        <v>45529</v>
      </c>
      <c r="C355" t="s">
        <v>40</v>
      </c>
      <c r="D355" t="s">
        <v>41</v>
      </c>
      <c r="E355" t="s">
        <v>34</v>
      </c>
      <c r="F355" t="s">
        <v>48</v>
      </c>
      <c r="G355" t="s">
        <v>66</v>
      </c>
      <c r="H355">
        <v>12</v>
      </c>
      <c r="I355">
        <v>43570.07</v>
      </c>
      <c r="J355" s="2">
        <v>0</v>
      </c>
      <c r="K355" t="s">
        <v>31</v>
      </c>
      <c r="L355">
        <v>522840.84</v>
      </c>
      <c r="M355" t="str">
        <f>TEXT(Table1[[#This Row],[OrderDate]], "mmm")</f>
        <v>Aug</v>
      </c>
      <c r="N355" t="str">
        <f>IF(Table1[[#This Row],[TotalSales]]&gt;50000,"High",IF(L355&gt;20000,"Medium","Low"))</f>
        <v>High</v>
      </c>
      <c r="O355">
        <f>Table1[[#This Row],[TotalSales]]/Table1[[#This Row],[Quantity]]</f>
        <v>43570.07</v>
      </c>
    </row>
    <row r="356" spans="1:15" x14ac:dyDescent="0.35">
      <c r="A356" t="s">
        <v>414</v>
      </c>
      <c r="B356" s="1">
        <v>45487</v>
      </c>
      <c r="C356" t="s">
        <v>20</v>
      </c>
      <c r="D356" t="s">
        <v>97</v>
      </c>
      <c r="E356" t="s">
        <v>34</v>
      </c>
      <c r="F356" t="s">
        <v>61</v>
      </c>
      <c r="G356" t="s">
        <v>43</v>
      </c>
      <c r="H356">
        <v>14</v>
      </c>
      <c r="I356">
        <v>891.33</v>
      </c>
      <c r="J356" s="2">
        <v>0.2</v>
      </c>
      <c r="K356" t="s">
        <v>18</v>
      </c>
      <c r="L356">
        <v>9982.9</v>
      </c>
      <c r="M356" t="str">
        <f>TEXT(Table1[[#This Row],[OrderDate]], "mmm")</f>
        <v>Jul</v>
      </c>
      <c r="N356" t="str">
        <f>IF(Table1[[#This Row],[TotalSales]]&gt;50000,"High",IF(L356&gt;20000,"Medium","Low"))</f>
        <v>Low</v>
      </c>
      <c r="O356">
        <f>Table1[[#This Row],[TotalSales]]/Table1[[#This Row],[Quantity]]</f>
        <v>713.06428571428569</v>
      </c>
    </row>
    <row r="357" spans="1:15" x14ac:dyDescent="0.35">
      <c r="A357" t="s">
        <v>415</v>
      </c>
      <c r="B357" s="1">
        <v>45491</v>
      </c>
      <c r="C357" t="s">
        <v>20</v>
      </c>
      <c r="D357" t="s">
        <v>97</v>
      </c>
      <c r="E357" t="s">
        <v>34</v>
      </c>
      <c r="F357" t="s">
        <v>35</v>
      </c>
      <c r="G357" t="s">
        <v>17</v>
      </c>
      <c r="H357">
        <v>11</v>
      </c>
      <c r="I357">
        <v>52874.52</v>
      </c>
      <c r="J357" s="2">
        <v>0</v>
      </c>
      <c r="K357" t="s">
        <v>44</v>
      </c>
      <c r="L357">
        <v>581619.72</v>
      </c>
      <c r="M357" t="str">
        <f>TEXT(Table1[[#This Row],[OrderDate]], "mmm")</f>
        <v>Jul</v>
      </c>
      <c r="N357" t="str">
        <f>IF(Table1[[#This Row],[TotalSales]]&gt;50000,"High",IF(L357&gt;20000,"Medium","Low"))</f>
        <v>High</v>
      </c>
      <c r="O357">
        <f>Table1[[#This Row],[TotalSales]]/Table1[[#This Row],[Quantity]]</f>
        <v>52874.52</v>
      </c>
    </row>
    <row r="358" spans="1:15" x14ac:dyDescent="0.35">
      <c r="A358" t="s">
        <v>416</v>
      </c>
      <c r="B358" s="1">
        <v>45318</v>
      </c>
      <c r="C358" t="s">
        <v>20</v>
      </c>
      <c r="D358" t="s">
        <v>97</v>
      </c>
      <c r="E358" t="s">
        <v>34</v>
      </c>
      <c r="F358" t="s">
        <v>48</v>
      </c>
      <c r="G358" t="s">
        <v>17</v>
      </c>
      <c r="H358">
        <v>14</v>
      </c>
      <c r="I358">
        <v>36734.870000000003</v>
      </c>
      <c r="J358" s="2">
        <v>0</v>
      </c>
      <c r="K358" t="s">
        <v>25</v>
      </c>
      <c r="L358">
        <v>514288.18</v>
      </c>
      <c r="M358" t="str">
        <f>TEXT(Table1[[#This Row],[OrderDate]], "mmm")</f>
        <v>Jan</v>
      </c>
      <c r="N358" t="str">
        <f>IF(Table1[[#This Row],[TotalSales]]&gt;50000,"High",IF(L358&gt;20000,"Medium","Low"))</f>
        <v>High</v>
      </c>
      <c r="O358">
        <f>Table1[[#This Row],[TotalSales]]/Table1[[#This Row],[Quantity]]</f>
        <v>36734.870000000003</v>
      </c>
    </row>
    <row r="359" spans="1:15" x14ac:dyDescent="0.35">
      <c r="A359" t="s">
        <v>417</v>
      </c>
      <c r="B359" s="1">
        <v>45645</v>
      </c>
      <c r="C359" t="s">
        <v>46</v>
      </c>
      <c r="D359" t="s">
        <v>71</v>
      </c>
      <c r="E359" t="s">
        <v>22</v>
      </c>
      <c r="F359" t="s">
        <v>23</v>
      </c>
      <c r="G359" t="s">
        <v>83</v>
      </c>
      <c r="H359">
        <v>8</v>
      </c>
      <c r="I359">
        <v>37924.68</v>
      </c>
      <c r="J359" s="2">
        <v>0</v>
      </c>
      <c r="K359" t="s">
        <v>31</v>
      </c>
      <c r="L359">
        <v>303397.44</v>
      </c>
      <c r="M359" t="str">
        <f>TEXT(Table1[[#This Row],[OrderDate]], "mmm")</f>
        <v>Dec</v>
      </c>
      <c r="N359" t="str">
        <f>IF(Table1[[#This Row],[TotalSales]]&gt;50000,"High",IF(L359&gt;20000,"Medium","Low"))</f>
        <v>High</v>
      </c>
      <c r="O359">
        <f>Table1[[#This Row],[TotalSales]]/Table1[[#This Row],[Quantity]]</f>
        <v>37924.68</v>
      </c>
    </row>
    <row r="360" spans="1:15" x14ac:dyDescent="0.35">
      <c r="A360" t="s">
        <v>418</v>
      </c>
      <c r="B360" s="1">
        <v>45566</v>
      </c>
      <c r="C360" t="s">
        <v>20</v>
      </c>
      <c r="D360" t="s">
        <v>21</v>
      </c>
      <c r="E360" t="s">
        <v>15</v>
      </c>
      <c r="F360" t="s">
        <v>56</v>
      </c>
      <c r="G360" t="s">
        <v>30</v>
      </c>
      <c r="H360">
        <v>13</v>
      </c>
      <c r="I360">
        <v>6085.06</v>
      </c>
      <c r="J360" s="2">
        <v>0.05</v>
      </c>
      <c r="K360" t="s">
        <v>18</v>
      </c>
      <c r="L360">
        <v>75150.490000000005</v>
      </c>
      <c r="M360" t="str">
        <f>TEXT(Table1[[#This Row],[OrderDate]], "mmm")</f>
        <v>Oct</v>
      </c>
      <c r="N360" t="str">
        <f>IF(Table1[[#This Row],[TotalSales]]&gt;50000,"High",IF(L360&gt;20000,"Medium","Low"))</f>
        <v>High</v>
      </c>
      <c r="O360">
        <f>Table1[[#This Row],[TotalSales]]/Table1[[#This Row],[Quantity]]</f>
        <v>5780.8069230769233</v>
      </c>
    </row>
    <row r="361" spans="1:15" x14ac:dyDescent="0.35">
      <c r="A361" t="s">
        <v>419</v>
      </c>
      <c r="B361" s="1">
        <v>45360</v>
      </c>
      <c r="C361" t="s">
        <v>13</v>
      </c>
      <c r="D361" t="s">
        <v>33</v>
      </c>
      <c r="E361" t="s">
        <v>15</v>
      </c>
      <c r="F361" t="s">
        <v>38</v>
      </c>
      <c r="G361" t="s">
        <v>24</v>
      </c>
      <c r="H361">
        <v>5</v>
      </c>
      <c r="I361">
        <v>49446.73</v>
      </c>
      <c r="J361" s="2">
        <v>0.05</v>
      </c>
      <c r="K361" t="s">
        <v>44</v>
      </c>
      <c r="L361">
        <v>234871.97</v>
      </c>
      <c r="M361" t="str">
        <f>TEXT(Table1[[#This Row],[OrderDate]], "mmm")</f>
        <v>Mar</v>
      </c>
      <c r="N361" t="str">
        <f>IF(Table1[[#This Row],[TotalSales]]&gt;50000,"High",IF(L361&gt;20000,"Medium","Low"))</f>
        <v>High</v>
      </c>
      <c r="O361">
        <f>Table1[[#This Row],[TotalSales]]/Table1[[#This Row],[Quantity]]</f>
        <v>46974.394</v>
      </c>
    </row>
    <row r="362" spans="1:15" x14ac:dyDescent="0.35">
      <c r="A362" t="s">
        <v>420</v>
      </c>
      <c r="B362" s="1">
        <v>45575</v>
      </c>
      <c r="C362" t="s">
        <v>13</v>
      </c>
      <c r="D362" t="s">
        <v>33</v>
      </c>
      <c r="E362" t="s">
        <v>28</v>
      </c>
      <c r="F362" t="s">
        <v>104</v>
      </c>
      <c r="G362" t="s">
        <v>66</v>
      </c>
      <c r="H362">
        <v>3</v>
      </c>
      <c r="I362">
        <v>3974.44</v>
      </c>
      <c r="J362" s="2">
        <v>0</v>
      </c>
      <c r="K362" t="s">
        <v>18</v>
      </c>
      <c r="L362">
        <v>11923.32</v>
      </c>
      <c r="M362" t="str">
        <f>TEXT(Table1[[#This Row],[OrderDate]], "mmm")</f>
        <v>Oct</v>
      </c>
      <c r="N362" t="str">
        <f>IF(Table1[[#This Row],[TotalSales]]&gt;50000,"High",IF(L362&gt;20000,"Medium","Low"))</f>
        <v>Low</v>
      </c>
      <c r="O362">
        <f>Table1[[#This Row],[TotalSales]]/Table1[[#This Row],[Quantity]]</f>
        <v>3974.44</v>
      </c>
    </row>
    <row r="363" spans="1:15" x14ac:dyDescent="0.35">
      <c r="A363" t="s">
        <v>421</v>
      </c>
      <c r="B363" s="1">
        <v>45324</v>
      </c>
      <c r="C363" t="s">
        <v>20</v>
      </c>
      <c r="D363" t="s">
        <v>97</v>
      </c>
      <c r="E363" t="s">
        <v>15</v>
      </c>
      <c r="F363" t="s">
        <v>56</v>
      </c>
      <c r="G363" t="s">
        <v>49</v>
      </c>
      <c r="H363">
        <v>11</v>
      </c>
      <c r="I363">
        <v>53200.54</v>
      </c>
      <c r="J363" s="2">
        <v>0.2</v>
      </c>
      <c r="K363" t="s">
        <v>44</v>
      </c>
      <c r="L363">
        <v>468164.75</v>
      </c>
      <c r="M363" t="str">
        <f>TEXT(Table1[[#This Row],[OrderDate]], "mmm")</f>
        <v>Feb</v>
      </c>
      <c r="N363" t="str">
        <f>IF(Table1[[#This Row],[TotalSales]]&gt;50000,"High",IF(L363&gt;20000,"Medium","Low"))</f>
        <v>High</v>
      </c>
      <c r="O363">
        <f>Table1[[#This Row],[TotalSales]]/Table1[[#This Row],[Quantity]]</f>
        <v>42560.431818181816</v>
      </c>
    </row>
    <row r="364" spans="1:15" x14ac:dyDescent="0.35">
      <c r="A364" t="s">
        <v>422</v>
      </c>
      <c r="B364" s="1">
        <v>45559</v>
      </c>
      <c r="C364" t="s">
        <v>46</v>
      </c>
      <c r="D364" t="s">
        <v>47</v>
      </c>
      <c r="E364" t="s">
        <v>34</v>
      </c>
      <c r="F364" t="s">
        <v>48</v>
      </c>
      <c r="G364" t="s">
        <v>69</v>
      </c>
      <c r="H364">
        <v>11</v>
      </c>
      <c r="I364">
        <v>3854.06</v>
      </c>
      <c r="J364" s="2">
        <v>0.2</v>
      </c>
      <c r="K364" t="s">
        <v>31</v>
      </c>
      <c r="L364">
        <v>33915.730000000003</v>
      </c>
      <c r="M364" t="str">
        <f>TEXT(Table1[[#This Row],[OrderDate]], "mmm")</f>
        <v>Sep</v>
      </c>
      <c r="N364" t="str">
        <f>IF(Table1[[#This Row],[TotalSales]]&gt;50000,"High",IF(L364&gt;20000,"Medium","Low"))</f>
        <v>Medium</v>
      </c>
      <c r="O364">
        <f>Table1[[#This Row],[TotalSales]]/Table1[[#This Row],[Quantity]]</f>
        <v>3083.2481818181823</v>
      </c>
    </row>
    <row r="365" spans="1:15" x14ac:dyDescent="0.35">
      <c r="A365" t="s">
        <v>423</v>
      </c>
      <c r="B365" s="1">
        <v>45611</v>
      </c>
      <c r="C365" t="s">
        <v>40</v>
      </c>
      <c r="D365" t="s">
        <v>51</v>
      </c>
      <c r="E365" t="s">
        <v>15</v>
      </c>
      <c r="F365" t="s">
        <v>38</v>
      </c>
      <c r="G365" t="s">
        <v>69</v>
      </c>
      <c r="H365">
        <v>12</v>
      </c>
      <c r="I365">
        <v>32548.49</v>
      </c>
      <c r="J365" s="2">
        <v>0</v>
      </c>
      <c r="K365" t="s">
        <v>25</v>
      </c>
      <c r="L365">
        <v>390581.88</v>
      </c>
      <c r="M365" t="str">
        <f>TEXT(Table1[[#This Row],[OrderDate]], "mmm")</f>
        <v>Nov</v>
      </c>
      <c r="N365" t="str">
        <f>IF(Table1[[#This Row],[TotalSales]]&gt;50000,"High",IF(L365&gt;20000,"Medium","Low"))</f>
        <v>High</v>
      </c>
      <c r="O365">
        <f>Table1[[#This Row],[TotalSales]]/Table1[[#This Row],[Quantity]]</f>
        <v>32548.49</v>
      </c>
    </row>
    <row r="366" spans="1:15" x14ac:dyDescent="0.35">
      <c r="A366" t="s">
        <v>424</v>
      </c>
      <c r="B366" s="1">
        <v>45577</v>
      </c>
      <c r="C366" t="s">
        <v>46</v>
      </c>
      <c r="D366" t="s">
        <v>79</v>
      </c>
      <c r="E366" t="s">
        <v>15</v>
      </c>
      <c r="F366" t="s">
        <v>38</v>
      </c>
      <c r="G366" t="s">
        <v>43</v>
      </c>
      <c r="H366">
        <v>12</v>
      </c>
      <c r="I366">
        <v>51615.76</v>
      </c>
      <c r="J366" s="2">
        <v>0.05</v>
      </c>
      <c r="K366" t="s">
        <v>31</v>
      </c>
      <c r="L366">
        <v>588419.66</v>
      </c>
      <c r="M366" t="str">
        <f>TEXT(Table1[[#This Row],[OrderDate]], "mmm")</f>
        <v>Oct</v>
      </c>
      <c r="N366" t="str">
        <f>IF(Table1[[#This Row],[TotalSales]]&gt;50000,"High",IF(L366&gt;20000,"Medium","Low"))</f>
        <v>High</v>
      </c>
      <c r="O366">
        <f>Table1[[#This Row],[TotalSales]]/Table1[[#This Row],[Quantity]]</f>
        <v>49034.971666666672</v>
      </c>
    </row>
    <row r="367" spans="1:15" x14ac:dyDescent="0.35">
      <c r="A367" t="s">
        <v>425</v>
      </c>
      <c r="B367" s="1">
        <v>45341</v>
      </c>
      <c r="C367" t="s">
        <v>20</v>
      </c>
      <c r="D367" t="s">
        <v>21</v>
      </c>
      <c r="E367" t="s">
        <v>28</v>
      </c>
      <c r="F367" t="s">
        <v>76</v>
      </c>
      <c r="G367" t="s">
        <v>24</v>
      </c>
      <c r="H367">
        <v>2</v>
      </c>
      <c r="I367">
        <v>39939.42</v>
      </c>
      <c r="J367" s="2">
        <v>0.1</v>
      </c>
      <c r="K367" t="s">
        <v>25</v>
      </c>
      <c r="L367">
        <v>71890.960000000006</v>
      </c>
      <c r="M367" t="str">
        <f>TEXT(Table1[[#This Row],[OrderDate]], "mmm")</f>
        <v>Feb</v>
      </c>
      <c r="N367" t="str">
        <f>IF(Table1[[#This Row],[TotalSales]]&gt;50000,"High",IF(L367&gt;20000,"Medium","Low"))</f>
        <v>High</v>
      </c>
      <c r="O367">
        <f>Table1[[#This Row],[TotalSales]]/Table1[[#This Row],[Quantity]]</f>
        <v>35945.480000000003</v>
      </c>
    </row>
    <row r="368" spans="1:15" x14ac:dyDescent="0.35">
      <c r="A368" t="s">
        <v>426</v>
      </c>
      <c r="B368" s="1">
        <v>45632</v>
      </c>
      <c r="C368" t="s">
        <v>40</v>
      </c>
      <c r="D368" t="s">
        <v>51</v>
      </c>
      <c r="E368" t="s">
        <v>15</v>
      </c>
      <c r="F368" t="s">
        <v>56</v>
      </c>
      <c r="G368" t="s">
        <v>30</v>
      </c>
      <c r="H368">
        <v>7</v>
      </c>
      <c r="I368">
        <v>48578.76</v>
      </c>
      <c r="J368" s="2">
        <v>0</v>
      </c>
      <c r="K368" t="s">
        <v>44</v>
      </c>
      <c r="L368">
        <v>340051.32</v>
      </c>
      <c r="M368" t="str">
        <f>TEXT(Table1[[#This Row],[OrderDate]], "mmm")</f>
        <v>Dec</v>
      </c>
      <c r="N368" t="str">
        <f>IF(Table1[[#This Row],[TotalSales]]&gt;50000,"High",IF(L368&gt;20000,"Medium","Low"))</f>
        <v>High</v>
      </c>
      <c r="O368">
        <f>Table1[[#This Row],[TotalSales]]/Table1[[#This Row],[Quantity]]</f>
        <v>48578.76</v>
      </c>
    </row>
    <row r="369" spans="1:15" x14ac:dyDescent="0.35">
      <c r="A369" t="s">
        <v>427</v>
      </c>
      <c r="B369" s="1">
        <v>45616</v>
      </c>
      <c r="C369" t="s">
        <v>13</v>
      </c>
      <c r="D369" t="s">
        <v>37</v>
      </c>
      <c r="E369" t="s">
        <v>28</v>
      </c>
      <c r="F369" t="s">
        <v>29</v>
      </c>
      <c r="G369" t="s">
        <v>49</v>
      </c>
      <c r="H369">
        <v>7</v>
      </c>
      <c r="I369">
        <v>45473.29</v>
      </c>
      <c r="J369" s="2">
        <v>0</v>
      </c>
      <c r="K369" t="s">
        <v>44</v>
      </c>
      <c r="L369">
        <v>318313.03000000003</v>
      </c>
      <c r="M369" t="str">
        <f>TEXT(Table1[[#This Row],[OrderDate]], "mmm")</f>
        <v>Nov</v>
      </c>
      <c r="N369" t="str">
        <f>IF(Table1[[#This Row],[TotalSales]]&gt;50000,"High",IF(L369&gt;20000,"Medium","Low"))</f>
        <v>High</v>
      </c>
      <c r="O369">
        <f>Table1[[#This Row],[TotalSales]]/Table1[[#This Row],[Quantity]]</f>
        <v>45473.29</v>
      </c>
    </row>
    <row r="370" spans="1:15" x14ac:dyDescent="0.35">
      <c r="A370" t="s">
        <v>428</v>
      </c>
      <c r="B370" s="1">
        <v>45309</v>
      </c>
      <c r="C370" t="s">
        <v>40</v>
      </c>
      <c r="D370" t="s">
        <v>55</v>
      </c>
      <c r="E370" t="s">
        <v>34</v>
      </c>
      <c r="F370" t="s">
        <v>88</v>
      </c>
      <c r="G370" t="s">
        <v>69</v>
      </c>
      <c r="H370">
        <v>5</v>
      </c>
      <c r="I370">
        <v>32847.800000000003</v>
      </c>
      <c r="J370" s="2">
        <v>0.1</v>
      </c>
      <c r="K370" t="s">
        <v>44</v>
      </c>
      <c r="L370">
        <v>147815.1</v>
      </c>
      <c r="M370" t="str">
        <f>TEXT(Table1[[#This Row],[OrderDate]], "mmm")</f>
        <v>Jan</v>
      </c>
      <c r="N370" t="str">
        <f>IF(Table1[[#This Row],[TotalSales]]&gt;50000,"High",IF(L370&gt;20000,"Medium","Low"))</f>
        <v>High</v>
      </c>
      <c r="O370">
        <f>Table1[[#This Row],[TotalSales]]/Table1[[#This Row],[Quantity]]</f>
        <v>29563.02</v>
      </c>
    </row>
    <row r="371" spans="1:15" x14ac:dyDescent="0.35">
      <c r="A371" t="s">
        <v>429</v>
      </c>
      <c r="B371" s="1">
        <v>45311</v>
      </c>
      <c r="C371" t="s">
        <v>20</v>
      </c>
      <c r="D371" t="s">
        <v>27</v>
      </c>
      <c r="E371" t="s">
        <v>15</v>
      </c>
      <c r="F371" t="s">
        <v>56</v>
      </c>
      <c r="G371" t="s">
        <v>49</v>
      </c>
      <c r="H371">
        <v>8</v>
      </c>
      <c r="I371">
        <v>19689.939999999999</v>
      </c>
      <c r="J371" s="2">
        <v>0</v>
      </c>
      <c r="K371" t="s">
        <v>31</v>
      </c>
      <c r="L371">
        <v>157519.51999999999</v>
      </c>
      <c r="M371" t="str">
        <f>TEXT(Table1[[#This Row],[OrderDate]], "mmm")</f>
        <v>Jan</v>
      </c>
      <c r="N371" t="str">
        <f>IF(Table1[[#This Row],[TotalSales]]&gt;50000,"High",IF(L371&gt;20000,"Medium","Low"))</f>
        <v>High</v>
      </c>
      <c r="O371">
        <f>Table1[[#This Row],[TotalSales]]/Table1[[#This Row],[Quantity]]</f>
        <v>19689.939999999999</v>
      </c>
    </row>
    <row r="372" spans="1:15" x14ac:dyDescent="0.35">
      <c r="A372" t="s">
        <v>430</v>
      </c>
      <c r="B372" s="1">
        <v>45458</v>
      </c>
      <c r="C372" t="s">
        <v>46</v>
      </c>
      <c r="D372" t="s">
        <v>71</v>
      </c>
      <c r="E372" t="s">
        <v>34</v>
      </c>
      <c r="F372" t="s">
        <v>61</v>
      </c>
      <c r="G372" t="s">
        <v>49</v>
      </c>
      <c r="H372">
        <v>13</v>
      </c>
      <c r="I372">
        <v>26642.82</v>
      </c>
      <c r="J372" s="2">
        <v>0.05</v>
      </c>
      <c r="K372" t="s">
        <v>31</v>
      </c>
      <c r="L372">
        <v>329038.83</v>
      </c>
      <c r="M372" t="str">
        <f>TEXT(Table1[[#This Row],[OrderDate]], "mmm")</f>
        <v>Jun</v>
      </c>
      <c r="N372" t="str">
        <f>IF(Table1[[#This Row],[TotalSales]]&gt;50000,"High",IF(L372&gt;20000,"Medium","Low"))</f>
        <v>High</v>
      </c>
      <c r="O372">
        <f>Table1[[#This Row],[TotalSales]]/Table1[[#This Row],[Quantity]]</f>
        <v>25310.67923076923</v>
      </c>
    </row>
    <row r="373" spans="1:15" x14ac:dyDescent="0.35">
      <c r="A373" t="s">
        <v>431</v>
      </c>
      <c r="B373" s="1">
        <v>45470</v>
      </c>
      <c r="C373" t="s">
        <v>46</v>
      </c>
      <c r="D373" t="s">
        <v>79</v>
      </c>
      <c r="E373" t="s">
        <v>34</v>
      </c>
      <c r="F373" t="s">
        <v>35</v>
      </c>
      <c r="G373" t="s">
        <v>43</v>
      </c>
      <c r="H373">
        <v>15</v>
      </c>
      <c r="I373">
        <v>44979.37</v>
      </c>
      <c r="J373" s="2">
        <v>0.05</v>
      </c>
      <c r="K373" t="s">
        <v>25</v>
      </c>
      <c r="L373">
        <v>640956.02</v>
      </c>
      <c r="M373" t="str">
        <f>TEXT(Table1[[#This Row],[OrderDate]], "mmm")</f>
        <v>Jun</v>
      </c>
      <c r="N373" t="str">
        <f>IF(Table1[[#This Row],[TotalSales]]&gt;50000,"High",IF(L373&gt;20000,"Medium","Low"))</f>
        <v>High</v>
      </c>
      <c r="O373">
        <f>Table1[[#This Row],[TotalSales]]/Table1[[#This Row],[Quantity]]</f>
        <v>42730.401333333335</v>
      </c>
    </row>
    <row r="374" spans="1:15" x14ac:dyDescent="0.35">
      <c r="A374" t="s">
        <v>432</v>
      </c>
      <c r="B374" s="1">
        <v>45568</v>
      </c>
      <c r="C374" t="s">
        <v>46</v>
      </c>
      <c r="D374" t="s">
        <v>79</v>
      </c>
      <c r="E374" t="s">
        <v>15</v>
      </c>
      <c r="F374" t="s">
        <v>56</v>
      </c>
      <c r="G374" t="s">
        <v>30</v>
      </c>
      <c r="H374">
        <v>10</v>
      </c>
      <c r="I374">
        <v>8396.99</v>
      </c>
      <c r="J374" s="2">
        <v>0.1</v>
      </c>
      <c r="K374" t="s">
        <v>31</v>
      </c>
      <c r="L374">
        <v>75572.91</v>
      </c>
      <c r="M374" t="str">
        <f>TEXT(Table1[[#This Row],[OrderDate]], "mmm")</f>
        <v>Oct</v>
      </c>
      <c r="N374" t="str">
        <f>IF(Table1[[#This Row],[TotalSales]]&gt;50000,"High",IF(L374&gt;20000,"Medium","Low"))</f>
        <v>High</v>
      </c>
      <c r="O374">
        <f>Table1[[#This Row],[TotalSales]]/Table1[[#This Row],[Quantity]]</f>
        <v>7557.2910000000002</v>
      </c>
    </row>
    <row r="375" spans="1:15" x14ac:dyDescent="0.35">
      <c r="A375" t="s">
        <v>433</v>
      </c>
      <c r="B375" s="1">
        <v>45367</v>
      </c>
      <c r="C375" t="s">
        <v>13</v>
      </c>
      <c r="D375" t="s">
        <v>37</v>
      </c>
      <c r="E375" t="s">
        <v>22</v>
      </c>
      <c r="F375" t="s">
        <v>82</v>
      </c>
      <c r="G375" t="s">
        <v>66</v>
      </c>
      <c r="H375">
        <v>3</v>
      </c>
      <c r="I375">
        <v>18622.02</v>
      </c>
      <c r="J375" s="2">
        <v>0.05</v>
      </c>
      <c r="K375" t="s">
        <v>18</v>
      </c>
      <c r="L375">
        <v>53072.76</v>
      </c>
      <c r="M375" t="str">
        <f>TEXT(Table1[[#This Row],[OrderDate]], "mmm")</f>
        <v>Mar</v>
      </c>
      <c r="N375" t="str">
        <f>IF(Table1[[#This Row],[TotalSales]]&gt;50000,"High",IF(L375&gt;20000,"Medium","Low"))</f>
        <v>High</v>
      </c>
      <c r="O375">
        <f>Table1[[#This Row],[TotalSales]]/Table1[[#This Row],[Quantity]]</f>
        <v>17690.920000000002</v>
      </c>
    </row>
    <row r="376" spans="1:15" x14ac:dyDescent="0.35">
      <c r="A376" t="s">
        <v>434</v>
      </c>
      <c r="B376" s="1">
        <v>45494</v>
      </c>
      <c r="C376" t="s">
        <v>20</v>
      </c>
      <c r="D376" t="s">
        <v>97</v>
      </c>
      <c r="E376" t="s">
        <v>22</v>
      </c>
      <c r="F376" t="s">
        <v>82</v>
      </c>
      <c r="G376" t="s">
        <v>66</v>
      </c>
      <c r="H376">
        <v>11</v>
      </c>
      <c r="I376">
        <v>31508.92</v>
      </c>
      <c r="J376" s="2">
        <v>0.1</v>
      </c>
      <c r="K376" t="s">
        <v>44</v>
      </c>
      <c r="L376">
        <v>311938.31</v>
      </c>
      <c r="M376" t="str">
        <f>TEXT(Table1[[#This Row],[OrderDate]], "mmm")</f>
        <v>Jul</v>
      </c>
      <c r="N376" t="str">
        <f>IF(Table1[[#This Row],[TotalSales]]&gt;50000,"High",IF(L376&gt;20000,"Medium","Low"))</f>
        <v>High</v>
      </c>
      <c r="O376">
        <f>Table1[[#This Row],[TotalSales]]/Table1[[#This Row],[Quantity]]</f>
        <v>28358.028181818183</v>
      </c>
    </row>
    <row r="377" spans="1:15" x14ac:dyDescent="0.35">
      <c r="A377" t="s">
        <v>435</v>
      </c>
      <c r="B377" s="1">
        <v>45479</v>
      </c>
      <c r="C377" t="s">
        <v>40</v>
      </c>
      <c r="D377" t="s">
        <v>41</v>
      </c>
      <c r="E377" t="s">
        <v>15</v>
      </c>
      <c r="F377" t="s">
        <v>16</v>
      </c>
      <c r="G377" t="s">
        <v>30</v>
      </c>
      <c r="H377">
        <v>6</v>
      </c>
      <c r="I377">
        <v>10638.84</v>
      </c>
      <c r="J377" s="2">
        <v>0</v>
      </c>
      <c r="K377" t="s">
        <v>18</v>
      </c>
      <c r="L377">
        <v>63833.04</v>
      </c>
      <c r="M377" t="str">
        <f>TEXT(Table1[[#This Row],[OrderDate]], "mmm")</f>
        <v>Jul</v>
      </c>
      <c r="N377" t="str">
        <f>IF(Table1[[#This Row],[TotalSales]]&gt;50000,"High",IF(L377&gt;20000,"Medium","Low"))</f>
        <v>High</v>
      </c>
      <c r="O377">
        <f>Table1[[#This Row],[TotalSales]]/Table1[[#This Row],[Quantity]]</f>
        <v>10638.84</v>
      </c>
    </row>
    <row r="378" spans="1:15" x14ac:dyDescent="0.35">
      <c r="A378" t="s">
        <v>436</v>
      </c>
      <c r="B378" s="1">
        <v>45642</v>
      </c>
      <c r="C378" t="s">
        <v>20</v>
      </c>
      <c r="D378" t="s">
        <v>27</v>
      </c>
      <c r="E378" t="s">
        <v>34</v>
      </c>
      <c r="F378" t="s">
        <v>35</v>
      </c>
      <c r="G378" t="s">
        <v>24</v>
      </c>
      <c r="H378">
        <v>6</v>
      </c>
      <c r="I378">
        <v>8748.32</v>
      </c>
      <c r="J378" s="2">
        <v>0.15</v>
      </c>
      <c r="K378" t="s">
        <v>44</v>
      </c>
      <c r="L378">
        <v>44616.43</v>
      </c>
      <c r="M378" t="str">
        <f>TEXT(Table1[[#This Row],[OrderDate]], "mmm")</f>
        <v>Dec</v>
      </c>
      <c r="N378" t="str">
        <f>IF(Table1[[#This Row],[TotalSales]]&gt;50000,"High",IF(L378&gt;20000,"Medium","Low"))</f>
        <v>Medium</v>
      </c>
      <c r="O378">
        <f>Table1[[#This Row],[TotalSales]]/Table1[[#This Row],[Quantity]]</f>
        <v>7436.0716666666667</v>
      </c>
    </row>
    <row r="379" spans="1:15" x14ac:dyDescent="0.35">
      <c r="A379" t="s">
        <v>437</v>
      </c>
      <c r="B379" s="1">
        <v>45522</v>
      </c>
      <c r="C379" t="s">
        <v>46</v>
      </c>
      <c r="D379" t="s">
        <v>79</v>
      </c>
      <c r="E379" t="s">
        <v>15</v>
      </c>
      <c r="F379" t="s">
        <v>56</v>
      </c>
      <c r="G379" t="s">
        <v>30</v>
      </c>
      <c r="H379">
        <v>8</v>
      </c>
      <c r="I379">
        <v>1446.6</v>
      </c>
      <c r="J379" s="2">
        <v>0</v>
      </c>
      <c r="K379" t="s">
        <v>18</v>
      </c>
      <c r="L379">
        <v>11572.8</v>
      </c>
      <c r="M379" t="str">
        <f>TEXT(Table1[[#This Row],[OrderDate]], "mmm")</f>
        <v>Aug</v>
      </c>
      <c r="N379" t="str">
        <f>IF(Table1[[#This Row],[TotalSales]]&gt;50000,"High",IF(L379&gt;20000,"Medium","Low"))</f>
        <v>Low</v>
      </c>
      <c r="O379">
        <f>Table1[[#This Row],[TotalSales]]/Table1[[#This Row],[Quantity]]</f>
        <v>1446.6</v>
      </c>
    </row>
    <row r="380" spans="1:15" x14ac:dyDescent="0.35">
      <c r="A380" t="s">
        <v>438</v>
      </c>
      <c r="B380" s="1">
        <v>45379</v>
      </c>
      <c r="C380" t="s">
        <v>46</v>
      </c>
      <c r="D380" t="s">
        <v>79</v>
      </c>
      <c r="E380" t="s">
        <v>15</v>
      </c>
      <c r="F380" t="s">
        <v>38</v>
      </c>
      <c r="G380" t="s">
        <v>17</v>
      </c>
      <c r="H380">
        <v>1</v>
      </c>
      <c r="I380">
        <v>15763.94</v>
      </c>
      <c r="J380" s="2">
        <v>0.2</v>
      </c>
      <c r="K380" t="s">
        <v>25</v>
      </c>
      <c r="L380">
        <v>12611.15</v>
      </c>
      <c r="M380" t="str">
        <f>TEXT(Table1[[#This Row],[OrderDate]], "mmm")</f>
        <v>Mar</v>
      </c>
      <c r="N380" t="str">
        <f>IF(Table1[[#This Row],[TotalSales]]&gt;50000,"High",IF(L380&gt;20000,"Medium","Low"))</f>
        <v>Low</v>
      </c>
      <c r="O380">
        <f>Table1[[#This Row],[TotalSales]]/Table1[[#This Row],[Quantity]]</f>
        <v>12611.15</v>
      </c>
    </row>
    <row r="381" spans="1:15" x14ac:dyDescent="0.35">
      <c r="A381" t="s">
        <v>439</v>
      </c>
      <c r="B381" s="1">
        <v>45441</v>
      </c>
      <c r="C381" t="s">
        <v>46</v>
      </c>
      <c r="D381" t="s">
        <v>47</v>
      </c>
      <c r="E381" t="s">
        <v>28</v>
      </c>
      <c r="F381" t="s">
        <v>29</v>
      </c>
      <c r="G381" t="s">
        <v>83</v>
      </c>
      <c r="H381">
        <v>14</v>
      </c>
      <c r="I381">
        <v>48610.45</v>
      </c>
      <c r="J381" s="2">
        <v>0.05</v>
      </c>
      <c r="K381" t="s">
        <v>25</v>
      </c>
      <c r="L381">
        <v>646518.98</v>
      </c>
      <c r="M381" t="str">
        <f>TEXT(Table1[[#This Row],[OrderDate]], "mmm")</f>
        <v>May</v>
      </c>
      <c r="N381" t="str">
        <f>IF(Table1[[#This Row],[TotalSales]]&gt;50000,"High",IF(L381&gt;20000,"Medium","Low"))</f>
        <v>High</v>
      </c>
      <c r="O381">
        <f>Table1[[#This Row],[TotalSales]]/Table1[[#This Row],[Quantity]]</f>
        <v>46179.927142857145</v>
      </c>
    </row>
    <row r="382" spans="1:15" x14ac:dyDescent="0.35">
      <c r="A382" t="s">
        <v>440</v>
      </c>
      <c r="B382" s="1">
        <v>45526</v>
      </c>
      <c r="C382" t="s">
        <v>20</v>
      </c>
      <c r="D382" t="s">
        <v>21</v>
      </c>
      <c r="E382" t="s">
        <v>15</v>
      </c>
      <c r="F382" t="s">
        <v>59</v>
      </c>
      <c r="G382" t="s">
        <v>24</v>
      </c>
      <c r="H382">
        <v>9</v>
      </c>
      <c r="I382">
        <v>50963.98</v>
      </c>
      <c r="J382" s="2">
        <v>0</v>
      </c>
      <c r="K382" t="s">
        <v>31</v>
      </c>
      <c r="L382">
        <v>458675.82</v>
      </c>
      <c r="M382" t="str">
        <f>TEXT(Table1[[#This Row],[OrderDate]], "mmm")</f>
        <v>Aug</v>
      </c>
      <c r="N382" t="str">
        <f>IF(Table1[[#This Row],[TotalSales]]&gt;50000,"High",IF(L382&gt;20000,"Medium","Low"))</f>
        <v>High</v>
      </c>
      <c r="O382">
        <f>Table1[[#This Row],[TotalSales]]/Table1[[#This Row],[Quantity]]</f>
        <v>50963.98</v>
      </c>
    </row>
    <row r="383" spans="1:15" x14ac:dyDescent="0.35">
      <c r="A383" t="s">
        <v>441</v>
      </c>
      <c r="B383" s="1">
        <v>45446</v>
      </c>
      <c r="C383" t="s">
        <v>13</v>
      </c>
      <c r="D383" t="s">
        <v>33</v>
      </c>
      <c r="E383" t="s">
        <v>28</v>
      </c>
      <c r="F383" t="s">
        <v>29</v>
      </c>
      <c r="G383" t="s">
        <v>43</v>
      </c>
      <c r="H383">
        <v>4</v>
      </c>
      <c r="I383">
        <v>54780.49</v>
      </c>
      <c r="J383" s="2">
        <v>0.1</v>
      </c>
      <c r="K383" t="s">
        <v>44</v>
      </c>
      <c r="L383">
        <v>197209.76</v>
      </c>
      <c r="M383" t="str">
        <f>TEXT(Table1[[#This Row],[OrderDate]], "mmm")</f>
        <v>Jun</v>
      </c>
      <c r="N383" t="str">
        <f>IF(Table1[[#This Row],[TotalSales]]&gt;50000,"High",IF(L383&gt;20000,"Medium","Low"))</f>
        <v>High</v>
      </c>
      <c r="O383">
        <f>Table1[[#This Row],[TotalSales]]/Table1[[#This Row],[Quantity]]</f>
        <v>49302.44</v>
      </c>
    </row>
    <row r="384" spans="1:15" x14ac:dyDescent="0.35">
      <c r="A384" t="s">
        <v>442</v>
      </c>
      <c r="B384" s="1">
        <v>45628</v>
      </c>
      <c r="C384" t="s">
        <v>13</v>
      </c>
      <c r="D384" t="s">
        <v>37</v>
      </c>
      <c r="E384" t="s">
        <v>22</v>
      </c>
      <c r="F384" t="s">
        <v>42</v>
      </c>
      <c r="G384" t="s">
        <v>66</v>
      </c>
      <c r="H384">
        <v>3</v>
      </c>
      <c r="I384">
        <v>5011.17</v>
      </c>
      <c r="J384" s="2">
        <v>0.05</v>
      </c>
      <c r="K384" t="s">
        <v>18</v>
      </c>
      <c r="L384">
        <v>14281.83</v>
      </c>
      <c r="M384" t="str">
        <f>TEXT(Table1[[#This Row],[OrderDate]], "mmm")</f>
        <v>Dec</v>
      </c>
      <c r="N384" t="str">
        <f>IF(Table1[[#This Row],[TotalSales]]&gt;50000,"High",IF(L384&gt;20000,"Medium","Low"))</f>
        <v>Low</v>
      </c>
      <c r="O384">
        <f>Table1[[#This Row],[TotalSales]]/Table1[[#This Row],[Quantity]]</f>
        <v>4760.6099999999997</v>
      </c>
    </row>
    <row r="385" spans="1:15" x14ac:dyDescent="0.35">
      <c r="A385" t="s">
        <v>443</v>
      </c>
      <c r="B385" s="1">
        <v>45460</v>
      </c>
      <c r="C385" t="s">
        <v>13</v>
      </c>
      <c r="D385" t="s">
        <v>33</v>
      </c>
      <c r="E385" t="s">
        <v>22</v>
      </c>
      <c r="F385" t="s">
        <v>82</v>
      </c>
      <c r="G385" t="s">
        <v>24</v>
      </c>
      <c r="H385">
        <v>8</v>
      </c>
      <c r="I385">
        <v>29914.41</v>
      </c>
      <c r="J385" s="2">
        <v>0</v>
      </c>
      <c r="K385" t="s">
        <v>44</v>
      </c>
      <c r="L385">
        <v>239315.28</v>
      </c>
      <c r="M385" t="str">
        <f>TEXT(Table1[[#This Row],[OrderDate]], "mmm")</f>
        <v>Jun</v>
      </c>
      <c r="N385" t="str">
        <f>IF(Table1[[#This Row],[TotalSales]]&gt;50000,"High",IF(L385&gt;20000,"Medium","Low"))</f>
        <v>High</v>
      </c>
      <c r="O385">
        <f>Table1[[#This Row],[TotalSales]]/Table1[[#This Row],[Quantity]]</f>
        <v>29914.41</v>
      </c>
    </row>
    <row r="386" spans="1:15" x14ac:dyDescent="0.35">
      <c r="A386" t="s">
        <v>444</v>
      </c>
      <c r="B386" s="1">
        <v>45581</v>
      </c>
      <c r="C386" t="s">
        <v>20</v>
      </c>
      <c r="D386" t="s">
        <v>21</v>
      </c>
      <c r="E386" t="s">
        <v>22</v>
      </c>
      <c r="F386" t="s">
        <v>82</v>
      </c>
      <c r="G386" t="s">
        <v>24</v>
      </c>
      <c r="H386">
        <v>15</v>
      </c>
      <c r="I386">
        <v>8861.0300000000007</v>
      </c>
      <c r="J386" s="2">
        <v>0</v>
      </c>
      <c r="K386" t="s">
        <v>31</v>
      </c>
      <c r="L386">
        <v>132915.45000000001</v>
      </c>
      <c r="M386" t="str">
        <f>TEXT(Table1[[#This Row],[OrderDate]], "mmm")</f>
        <v>Oct</v>
      </c>
      <c r="N386" t="str">
        <f>IF(Table1[[#This Row],[TotalSales]]&gt;50000,"High",IF(L386&gt;20000,"Medium","Low"))</f>
        <v>High</v>
      </c>
      <c r="O386">
        <f>Table1[[#This Row],[TotalSales]]/Table1[[#This Row],[Quantity]]</f>
        <v>8861.0300000000007</v>
      </c>
    </row>
    <row r="387" spans="1:15" x14ac:dyDescent="0.35">
      <c r="A387" t="s">
        <v>445</v>
      </c>
      <c r="B387" s="1">
        <v>45518</v>
      </c>
      <c r="C387" t="s">
        <v>40</v>
      </c>
      <c r="D387" t="s">
        <v>41</v>
      </c>
      <c r="E387" t="s">
        <v>28</v>
      </c>
      <c r="F387" t="s">
        <v>104</v>
      </c>
      <c r="G387" t="s">
        <v>24</v>
      </c>
      <c r="H387">
        <v>12</v>
      </c>
      <c r="I387">
        <v>51370.52</v>
      </c>
      <c r="J387" s="2">
        <v>0.15</v>
      </c>
      <c r="K387" t="s">
        <v>31</v>
      </c>
      <c r="L387">
        <v>523979.3</v>
      </c>
      <c r="M387" t="str">
        <f>TEXT(Table1[[#This Row],[OrderDate]], "mmm")</f>
        <v>Aug</v>
      </c>
      <c r="N387" t="str">
        <f>IF(Table1[[#This Row],[TotalSales]]&gt;50000,"High",IF(L387&gt;20000,"Medium","Low"))</f>
        <v>High</v>
      </c>
      <c r="O387">
        <f>Table1[[#This Row],[TotalSales]]/Table1[[#This Row],[Quantity]]</f>
        <v>43664.941666666666</v>
      </c>
    </row>
    <row r="388" spans="1:15" x14ac:dyDescent="0.35">
      <c r="A388" t="s">
        <v>446</v>
      </c>
      <c r="B388" s="1">
        <v>45643</v>
      </c>
      <c r="C388" t="s">
        <v>20</v>
      </c>
      <c r="D388" t="s">
        <v>27</v>
      </c>
      <c r="E388" t="s">
        <v>28</v>
      </c>
      <c r="F388" t="s">
        <v>125</v>
      </c>
      <c r="G388" t="s">
        <v>83</v>
      </c>
      <c r="H388">
        <v>1</v>
      </c>
      <c r="I388">
        <v>19887.52</v>
      </c>
      <c r="J388" s="2">
        <v>0.15</v>
      </c>
      <c r="K388" t="s">
        <v>18</v>
      </c>
      <c r="L388">
        <v>16904.39</v>
      </c>
      <c r="M388" t="str">
        <f>TEXT(Table1[[#This Row],[OrderDate]], "mmm")</f>
        <v>Dec</v>
      </c>
      <c r="N388" t="str">
        <f>IF(Table1[[#This Row],[TotalSales]]&gt;50000,"High",IF(L388&gt;20000,"Medium","Low"))</f>
        <v>Low</v>
      </c>
      <c r="O388">
        <f>Table1[[#This Row],[TotalSales]]/Table1[[#This Row],[Quantity]]</f>
        <v>16904.39</v>
      </c>
    </row>
    <row r="389" spans="1:15" x14ac:dyDescent="0.35">
      <c r="A389" t="s">
        <v>447</v>
      </c>
      <c r="B389" s="1">
        <v>45375</v>
      </c>
      <c r="C389" t="s">
        <v>40</v>
      </c>
      <c r="D389" t="s">
        <v>55</v>
      </c>
      <c r="E389" t="s">
        <v>34</v>
      </c>
      <c r="F389" t="s">
        <v>88</v>
      </c>
      <c r="G389" t="s">
        <v>69</v>
      </c>
      <c r="H389">
        <v>4</v>
      </c>
      <c r="I389">
        <v>12599.76</v>
      </c>
      <c r="J389" s="2">
        <v>0.05</v>
      </c>
      <c r="K389" t="s">
        <v>18</v>
      </c>
      <c r="L389">
        <v>47879.09</v>
      </c>
      <c r="M389" t="str">
        <f>TEXT(Table1[[#This Row],[OrderDate]], "mmm")</f>
        <v>Mar</v>
      </c>
      <c r="N389" t="str">
        <f>IF(Table1[[#This Row],[TotalSales]]&gt;50000,"High",IF(L389&gt;20000,"Medium","Low"))</f>
        <v>Medium</v>
      </c>
      <c r="O389">
        <f>Table1[[#This Row],[TotalSales]]/Table1[[#This Row],[Quantity]]</f>
        <v>11969.772499999999</v>
      </c>
    </row>
    <row r="390" spans="1:15" x14ac:dyDescent="0.35">
      <c r="A390" t="s">
        <v>448</v>
      </c>
      <c r="B390" s="1">
        <v>45542</v>
      </c>
      <c r="C390" t="s">
        <v>40</v>
      </c>
      <c r="D390" t="s">
        <v>51</v>
      </c>
      <c r="E390" t="s">
        <v>15</v>
      </c>
      <c r="F390" t="s">
        <v>59</v>
      </c>
      <c r="G390" t="s">
        <v>66</v>
      </c>
      <c r="H390">
        <v>12</v>
      </c>
      <c r="I390">
        <v>18004.28</v>
      </c>
      <c r="J390" s="2">
        <v>0.05</v>
      </c>
      <c r="K390" t="s">
        <v>44</v>
      </c>
      <c r="L390">
        <v>205248.79</v>
      </c>
      <c r="M390" t="str">
        <f>TEXT(Table1[[#This Row],[OrderDate]], "mmm")</f>
        <v>Sep</v>
      </c>
      <c r="N390" t="str">
        <f>IF(Table1[[#This Row],[TotalSales]]&gt;50000,"High",IF(L390&gt;20000,"Medium","Low"))</f>
        <v>High</v>
      </c>
      <c r="O390">
        <f>Table1[[#This Row],[TotalSales]]/Table1[[#This Row],[Quantity]]</f>
        <v>17104.065833333334</v>
      </c>
    </row>
    <row r="391" spans="1:15" x14ac:dyDescent="0.35">
      <c r="A391" t="s">
        <v>449</v>
      </c>
      <c r="B391" s="1">
        <v>45525</v>
      </c>
      <c r="C391" t="s">
        <v>46</v>
      </c>
      <c r="D391" t="s">
        <v>79</v>
      </c>
      <c r="E391" t="s">
        <v>34</v>
      </c>
      <c r="F391" t="s">
        <v>35</v>
      </c>
      <c r="G391" t="s">
        <v>43</v>
      </c>
      <c r="H391">
        <v>14</v>
      </c>
      <c r="I391">
        <v>48301.63</v>
      </c>
      <c r="J391" s="2">
        <v>0</v>
      </c>
      <c r="K391" t="s">
        <v>18</v>
      </c>
      <c r="L391">
        <v>676222.82</v>
      </c>
      <c r="M391" t="str">
        <f>TEXT(Table1[[#This Row],[OrderDate]], "mmm")</f>
        <v>Aug</v>
      </c>
      <c r="N391" t="str">
        <f>IF(Table1[[#This Row],[TotalSales]]&gt;50000,"High",IF(L391&gt;20000,"Medium","Low"))</f>
        <v>High</v>
      </c>
      <c r="O391">
        <f>Table1[[#This Row],[TotalSales]]/Table1[[#This Row],[Quantity]]</f>
        <v>48301.63</v>
      </c>
    </row>
    <row r="392" spans="1:15" x14ac:dyDescent="0.35">
      <c r="A392" t="s">
        <v>450</v>
      </c>
      <c r="B392" s="1">
        <v>45438</v>
      </c>
      <c r="C392" t="s">
        <v>40</v>
      </c>
      <c r="D392" t="s">
        <v>41</v>
      </c>
      <c r="E392" t="s">
        <v>28</v>
      </c>
      <c r="F392" t="s">
        <v>104</v>
      </c>
      <c r="G392" t="s">
        <v>30</v>
      </c>
      <c r="H392">
        <v>8</v>
      </c>
      <c r="I392">
        <v>9323.4699999999993</v>
      </c>
      <c r="J392" s="2">
        <v>0</v>
      </c>
      <c r="K392" t="s">
        <v>31</v>
      </c>
      <c r="L392">
        <v>74587.759999999995</v>
      </c>
      <c r="M392" t="str">
        <f>TEXT(Table1[[#This Row],[OrderDate]], "mmm")</f>
        <v>May</v>
      </c>
      <c r="N392" t="str">
        <f>IF(Table1[[#This Row],[TotalSales]]&gt;50000,"High",IF(L392&gt;20000,"Medium","Low"))</f>
        <v>High</v>
      </c>
      <c r="O392">
        <f>Table1[[#This Row],[TotalSales]]/Table1[[#This Row],[Quantity]]</f>
        <v>9323.4699999999993</v>
      </c>
    </row>
    <row r="393" spans="1:15" x14ac:dyDescent="0.35">
      <c r="A393" t="s">
        <v>451</v>
      </c>
      <c r="B393" s="1">
        <v>45503</v>
      </c>
      <c r="C393" t="s">
        <v>20</v>
      </c>
      <c r="D393" t="s">
        <v>97</v>
      </c>
      <c r="E393" t="s">
        <v>15</v>
      </c>
      <c r="F393" t="s">
        <v>59</v>
      </c>
      <c r="G393" t="s">
        <v>17</v>
      </c>
      <c r="H393">
        <v>6</v>
      </c>
      <c r="I393">
        <v>24908.54</v>
      </c>
      <c r="J393" s="2">
        <v>0</v>
      </c>
      <c r="K393" t="s">
        <v>44</v>
      </c>
      <c r="L393">
        <v>149451.24</v>
      </c>
      <c r="M393" t="str">
        <f>TEXT(Table1[[#This Row],[OrderDate]], "mmm")</f>
        <v>Jul</v>
      </c>
      <c r="N393" t="str">
        <f>IF(Table1[[#This Row],[TotalSales]]&gt;50000,"High",IF(L393&gt;20000,"Medium","Low"))</f>
        <v>High</v>
      </c>
      <c r="O393">
        <f>Table1[[#This Row],[TotalSales]]/Table1[[#This Row],[Quantity]]</f>
        <v>24908.539999999997</v>
      </c>
    </row>
    <row r="394" spans="1:15" x14ac:dyDescent="0.35">
      <c r="A394" t="s">
        <v>452</v>
      </c>
      <c r="B394" s="1">
        <v>45350</v>
      </c>
      <c r="C394" t="s">
        <v>46</v>
      </c>
      <c r="D394" t="s">
        <v>47</v>
      </c>
      <c r="E394" t="s">
        <v>28</v>
      </c>
      <c r="F394" t="s">
        <v>125</v>
      </c>
      <c r="G394" t="s">
        <v>24</v>
      </c>
      <c r="H394">
        <v>12</v>
      </c>
      <c r="I394">
        <v>24827.03</v>
      </c>
      <c r="J394" s="2">
        <v>0</v>
      </c>
      <c r="K394" t="s">
        <v>25</v>
      </c>
      <c r="L394">
        <v>297924.36</v>
      </c>
      <c r="M394" t="str">
        <f>TEXT(Table1[[#This Row],[OrderDate]], "mmm")</f>
        <v>Feb</v>
      </c>
      <c r="N394" t="str">
        <f>IF(Table1[[#This Row],[TotalSales]]&gt;50000,"High",IF(L394&gt;20000,"Medium","Low"))</f>
        <v>High</v>
      </c>
      <c r="O394">
        <f>Table1[[#This Row],[TotalSales]]/Table1[[#This Row],[Quantity]]</f>
        <v>24827.03</v>
      </c>
    </row>
    <row r="395" spans="1:15" x14ac:dyDescent="0.35">
      <c r="A395" t="s">
        <v>453</v>
      </c>
      <c r="B395" s="1">
        <v>45581</v>
      </c>
      <c r="C395" t="s">
        <v>20</v>
      </c>
      <c r="D395" t="s">
        <v>97</v>
      </c>
      <c r="E395" t="s">
        <v>34</v>
      </c>
      <c r="F395" t="s">
        <v>35</v>
      </c>
      <c r="G395" t="s">
        <v>49</v>
      </c>
      <c r="H395">
        <v>14</v>
      </c>
      <c r="I395">
        <v>36342.26</v>
      </c>
      <c r="J395" s="2">
        <v>0</v>
      </c>
      <c r="K395" t="s">
        <v>44</v>
      </c>
      <c r="L395">
        <v>508791.64</v>
      </c>
      <c r="M395" t="str">
        <f>TEXT(Table1[[#This Row],[OrderDate]], "mmm")</f>
        <v>Oct</v>
      </c>
      <c r="N395" t="str">
        <f>IF(Table1[[#This Row],[TotalSales]]&gt;50000,"High",IF(L395&gt;20000,"Medium","Low"))</f>
        <v>High</v>
      </c>
      <c r="O395">
        <f>Table1[[#This Row],[TotalSales]]/Table1[[#This Row],[Quantity]]</f>
        <v>36342.26</v>
      </c>
    </row>
    <row r="396" spans="1:15" x14ac:dyDescent="0.35">
      <c r="A396" t="s">
        <v>454</v>
      </c>
      <c r="B396" s="1">
        <v>45359</v>
      </c>
      <c r="C396" t="s">
        <v>20</v>
      </c>
      <c r="D396" t="s">
        <v>27</v>
      </c>
      <c r="E396" t="s">
        <v>34</v>
      </c>
      <c r="F396" t="s">
        <v>48</v>
      </c>
      <c r="G396" t="s">
        <v>43</v>
      </c>
      <c r="H396">
        <v>4</v>
      </c>
      <c r="I396">
        <v>393.6</v>
      </c>
      <c r="J396" s="2">
        <v>0.2</v>
      </c>
      <c r="K396" t="s">
        <v>25</v>
      </c>
      <c r="L396">
        <v>1259.52</v>
      </c>
      <c r="M396" t="str">
        <f>TEXT(Table1[[#This Row],[OrderDate]], "mmm")</f>
        <v>Mar</v>
      </c>
      <c r="N396" t="str">
        <f>IF(Table1[[#This Row],[TotalSales]]&gt;50000,"High",IF(L396&gt;20000,"Medium","Low"))</f>
        <v>Low</v>
      </c>
      <c r="O396">
        <f>Table1[[#This Row],[TotalSales]]/Table1[[#This Row],[Quantity]]</f>
        <v>314.88</v>
      </c>
    </row>
    <row r="397" spans="1:15" x14ac:dyDescent="0.35">
      <c r="A397" t="s">
        <v>455</v>
      </c>
      <c r="B397" s="1">
        <v>45501</v>
      </c>
      <c r="C397" t="s">
        <v>40</v>
      </c>
      <c r="D397" t="s">
        <v>41</v>
      </c>
      <c r="E397" t="s">
        <v>22</v>
      </c>
      <c r="F397" t="s">
        <v>42</v>
      </c>
      <c r="G397" t="s">
        <v>69</v>
      </c>
      <c r="H397">
        <v>8</v>
      </c>
      <c r="I397">
        <v>4551.3900000000003</v>
      </c>
      <c r="J397" s="2">
        <v>0.1</v>
      </c>
      <c r="K397" t="s">
        <v>31</v>
      </c>
      <c r="L397">
        <v>32770.01</v>
      </c>
      <c r="M397" t="str">
        <f>TEXT(Table1[[#This Row],[OrderDate]], "mmm")</f>
        <v>Jul</v>
      </c>
      <c r="N397" t="str">
        <f>IF(Table1[[#This Row],[TotalSales]]&gt;50000,"High",IF(L397&gt;20000,"Medium","Low"))</f>
        <v>Medium</v>
      </c>
      <c r="O397">
        <f>Table1[[#This Row],[TotalSales]]/Table1[[#This Row],[Quantity]]</f>
        <v>4096.2512500000003</v>
      </c>
    </row>
    <row r="398" spans="1:15" x14ac:dyDescent="0.35">
      <c r="A398" t="s">
        <v>456</v>
      </c>
      <c r="B398" s="1">
        <v>45470</v>
      </c>
      <c r="C398" t="s">
        <v>46</v>
      </c>
      <c r="D398" t="s">
        <v>71</v>
      </c>
      <c r="E398" t="s">
        <v>22</v>
      </c>
      <c r="F398" t="s">
        <v>42</v>
      </c>
      <c r="G398" t="s">
        <v>43</v>
      </c>
      <c r="H398">
        <v>1</v>
      </c>
      <c r="I398">
        <v>8166.52</v>
      </c>
      <c r="J398" s="2">
        <v>0</v>
      </c>
      <c r="K398" t="s">
        <v>31</v>
      </c>
      <c r="L398">
        <v>8166.52</v>
      </c>
      <c r="M398" t="str">
        <f>TEXT(Table1[[#This Row],[OrderDate]], "mmm")</f>
        <v>Jun</v>
      </c>
      <c r="N398" t="str">
        <f>IF(Table1[[#This Row],[TotalSales]]&gt;50000,"High",IF(L398&gt;20000,"Medium","Low"))</f>
        <v>Low</v>
      </c>
      <c r="O398">
        <f>Table1[[#This Row],[TotalSales]]/Table1[[#This Row],[Quantity]]</f>
        <v>8166.52</v>
      </c>
    </row>
    <row r="399" spans="1:15" x14ac:dyDescent="0.35">
      <c r="A399" t="s">
        <v>457</v>
      </c>
      <c r="B399" s="1">
        <v>45437</v>
      </c>
      <c r="C399" t="s">
        <v>20</v>
      </c>
      <c r="D399" t="s">
        <v>21</v>
      </c>
      <c r="E399" t="s">
        <v>34</v>
      </c>
      <c r="F399" t="s">
        <v>61</v>
      </c>
      <c r="G399" t="s">
        <v>83</v>
      </c>
      <c r="H399">
        <v>10</v>
      </c>
      <c r="I399">
        <v>36418.67</v>
      </c>
      <c r="J399" s="2">
        <v>0.15</v>
      </c>
      <c r="K399" t="s">
        <v>31</v>
      </c>
      <c r="L399">
        <v>309558.69</v>
      </c>
      <c r="M399" t="str">
        <f>TEXT(Table1[[#This Row],[OrderDate]], "mmm")</f>
        <v>May</v>
      </c>
      <c r="N399" t="str">
        <f>IF(Table1[[#This Row],[TotalSales]]&gt;50000,"High",IF(L399&gt;20000,"Medium","Low"))</f>
        <v>High</v>
      </c>
      <c r="O399">
        <f>Table1[[#This Row],[TotalSales]]/Table1[[#This Row],[Quantity]]</f>
        <v>30955.868999999999</v>
      </c>
    </row>
    <row r="400" spans="1:15" x14ac:dyDescent="0.35">
      <c r="A400" t="s">
        <v>458</v>
      </c>
      <c r="B400" s="1">
        <v>45486</v>
      </c>
      <c r="C400" t="s">
        <v>13</v>
      </c>
      <c r="D400" t="s">
        <v>37</v>
      </c>
      <c r="E400" t="s">
        <v>15</v>
      </c>
      <c r="F400" t="s">
        <v>56</v>
      </c>
      <c r="G400" t="s">
        <v>49</v>
      </c>
      <c r="H400">
        <v>14</v>
      </c>
      <c r="I400">
        <v>3908.13</v>
      </c>
      <c r="J400" s="2">
        <v>0.05</v>
      </c>
      <c r="K400" t="s">
        <v>44</v>
      </c>
      <c r="L400">
        <v>51978.13</v>
      </c>
      <c r="M400" t="str">
        <f>TEXT(Table1[[#This Row],[OrderDate]], "mmm")</f>
        <v>Jul</v>
      </c>
      <c r="N400" t="str">
        <f>IF(Table1[[#This Row],[TotalSales]]&gt;50000,"High",IF(L400&gt;20000,"Medium","Low"))</f>
        <v>High</v>
      </c>
      <c r="O400">
        <f>Table1[[#This Row],[TotalSales]]/Table1[[#This Row],[Quantity]]</f>
        <v>3712.7235714285712</v>
      </c>
    </row>
    <row r="401" spans="1:15" x14ac:dyDescent="0.35">
      <c r="A401" t="s">
        <v>459</v>
      </c>
      <c r="B401" s="1">
        <v>45321</v>
      </c>
      <c r="C401" t="s">
        <v>20</v>
      </c>
      <c r="D401" t="s">
        <v>21</v>
      </c>
      <c r="E401" t="s">
        <v>34</v>
      </c>
      <c r="F401" t="s">
        <v>61</v>
      </c>
      <c r="G401" t="s">
        <v>49</v>
      </c>
      <c r="H401">
        <v>2</v>
      </c>
      <c r="I401">
        <v>31510.92</v>
      </c>
      <c r="J401" s="2">
        <v>0.15</v>
      </c>
      <c r="K401" t="s">
        <v>25</v>
      </c>
      <c r="L401">
        <v>53568.56</v>
      </c>
      <c r="M401" t="str">
        <f>TEXT(Table1[[#This Row],[OrderDate]], "mmm")</f>
        <v>Jan</v>
      </c>
      <c r="N401" t="str">
        <f>IF(Table1[[#This Row],[TotalSales]]&gt;50000,"High",IF(L401&gt;20000,"Medium","Low"))</f>
        <v>High</v>
      </c>
      <c r="O401">
        <f>Table1[[#This Row],[TotalSales]]/Table1[[#This Row],[Quantity]]</f>
        <v>26784.28</v>
      </c>
    </row>
    <row r="402" spans="1:15" x14ac:dyDescent="0.35">
      <c r="A402" t="s">
        <v>460</v>
      </c>
      <c r="B402" s="1">
        <v>45606</v>
      </c>
      <c r="C402" t="s">
        <v>13</v>
      </c>
      <c r="D402" t="s">
        <v>14</v>
      </c>
      <c r="E402" t="s">
        <v>28</v>
      </c>
      <c r="F402" t="s">
        <v>29</v>
      </c>
      <c r="G402" t="s">
        <v>49</v>
      </c>
      <c r="H402">
        <v>10</v>
      </c>
      <c r="I402">
        <v>27402.55</v>
      </c>
      <c r="J402" s="2">
        <v>0.15</v>
      </c>
      <c r="K402" t="s">
        <v>18</v>
      </c>
      <c r="L402">
        <v>232921.67</v>
      </c>
      <c r="M402" t="str">
        <f>TEXT(Table1[[#This Row],[OrderDate]], "mmm")</f>
        <v>Nov</v>
      </c>
      <c r="N402" t="str">
        <f>IF(Table1[[#This Row],[TotalSales]]&gt;50000,"High",IF(L402&gt;20000,"Medium","Low"))</f>
        <v>High</v>
      </c>
      <c r="O402">
        <f>Table1[[#This Row],[TotalSales]]/Table1[[#This Row],[Quantity]]</f>
        <v>23292.167000000001</v>
      </c>
    </row>
    <row r="403" spans="1:15" x14ac:dyDescent="0.35">
      <c r="A403" t="s">
        <v>461</v>
      </c>
      <c r="B403" s="1">
        <v>45612</v>
      </c>
      <c r="C403" t="s">
        <v>46</v>
      </c>
      <c r="D403" t="s">
        <v>79</v>
      </c>
      <c r="E403" t="s">
        <v>15</v>
      </c>
      <c r="F403" t="s">
        <v>16</v>
      </c>
      <c r="G403" t="s">
        <v>83</v>
      </c>
      <c r="H403">
        <v>13</v>
      </c>
      <c r="I403">
        <v>6662.33</v>
      </c>
      <c r="J403" s="2">
        <v>0.2</v>
      </c>
      <c r="K403" t="s">
        <v>18</v>
      </c>
      <c r="L403">
        <v>69288.23</v>
      </c>
      <c r="M403" t="str">
        <f>TEXT(Table1[[#This Row],[OrderDate]], "mmm")</f>
        <v>Nov</v>
      </c>
      <c r="N403" t="str">
        <f>IF(Table1[[#This Row],[TotalSales]]&gt;50000,"High",IF(L403&gt;20000,"Medium","Low"))</f>
        <v>High</v>
      </c>
      <c r="O403">
        <f>Table1[[#This Row],[TotalSales]]/Table1[[#This Row],[Quantity]]</f>
        <v>5329.8638461538458</v>
      </c>
    </row>
    <row r="404" spans="1:15" x14ac:dyDescent="0.35">
      <c r="A404" t="s">
        <v>462</v>
      </c>
      <c r="B404" s="1">
        <v>45326</v>
      </c>
      <c r="C404" t="s">
        <v>13</v>
      </c>
      <c r="D404" t="s">
        <v>37</v>
      </c>
      <c r="E404" t="s">
        <v>15</v>
      </c>
      <c r="F404" t="s">
        <v>59</v>
      </c>
      <c r="G404" t="s">
        <v>43</v>
      </c>
      <c r="H404">
        <v>5</v>
      </c>
      <c r="I404">
        <v>16655.560000000001</v>
      </c>
      <c r="J404" s="2">
        <v>0.1</v>
      </c>
      <c r="K404" t="s">
        <v>18</v>
      </c>
      <c r="L404">
        <v>74950.02</v>
      </c>
      <c r="M404" t="str">
        <f>TEXT(Table1[[#This Row],[OrderDate]], "mmm")</f>
        <v>Feb</v>
      </c>
      <c r="N404" t="str">
        <f>IF(Table1[[#This Row],[TotalSales]]&gt;50000,"High",IF(L404&gt;20000,"Medium","Low"))</f>
        <v>High</v>
      </c>
      <c r="O404">
        <f>Table1[[#This Row],[TotalSales]]/Table1[[#This Row],[Quantity]]</f>
        <v>14990.004000000001</v>
      </c>
    </row>
    <row r="405" spans="1:15" x14ac:dyDescent="0.35">
      <c r="A405" t="s">
        <v>463</v>
      </c>
      <c r="B405" s="1">
        <v>45537</v>
      </c>
      <c r="C405" t="s">
        <v>13</v>
      </c>
      <c r="D405" t="s">
        <v>33</v>
      </c>
      <c r="E405" t="s">
        <v>22</v>
      </c>
      <c r="F405" t="s">
        <v>52</v>
      </c>
      <c r="G405" t="s">
        <v>83</v>
      </c>
      <c r="H405">
        <v>15</v>
      </c>
      <c r="I405">
        <v>26202.62</v>
      </c>
      <c r="J405" s="2">
        <v>0</v>
      </c>
      <c r="K405" t="s">
        <v>25</v>
      </c>
      <c r="L405">
        <v>393039.3</v>
      </c>
      <c r="M405" t="str">
        <f>TEXT(Table1[[#This Row],[OrderDate]], "mmm")</f>
        <v>Sep</v>
      </c>
      <c r="N405" t="str">
        <f>IF(Table1[[#This Row],[TotalSales]]&gt;50000,"High",IF(L405&gt;20000,"Medium","Low"))</f>
        <v>High</v>
      </c>
      <c r="O405">
        <f>Table1[[#This Row],[TotalSales]]/Table1[[#This Row],[Quantity]]</f>
        <v>26202.62</v>
      </c>
    </row>
    <row r="406" spans="1:15" x14ac:dyDescent="0.35">
      <c r="A406" t="s">
        <v>464</v>
      </c>
      <c r="B406" s="1">
        <v>45639</v>
      </c>
      <c r="C406" t="s">
        <v>13</v>
      </c>
      <c r="D406" t="s">
        <v>33</v>
      </c>
      <c r="E406" t="s">
        <v>34</v>
      </c>
      <c r="F406" t="s">
        <v>35</v>
      </c>
      <c r="G406" t="s">
        <v>83</v>
      </c>
      <c r="H406">
        <v>6</v>
      </c>
      <c r="I406">
        <v>30623.71</v>
      </c>
      <c r="J406" s="2">
        <v>0</v>
      </c>
      <c r="K406" t="s">
        <v>31</v>
      </c>
      <c r="L406">
        <v>183742.26</v>
      </c>
      <c r="M406" t="str">
        <f>TEXT(Table1[[#This Row],[OrderDate]], "mmm")</f>
        <v>Dec</v>
      </c>
      <c r="N406" t="str">
        <f>IF(Table1[[#This Row],[TotalSales]]&gt;50000,"High",IF(L406&gt;20000,"Medium","Low"))</f>
        <v>High</v>
      </c>
      <c r="O406">
        <f>Table1[[#This Row],[TotalSales]]/Table1[[#This Row],[Quantity]]</f>
        <v>30623.710000000003</v>
      </c>
    </row>
    <row r="407" spans="1:15" x14ac:dyDescent="0.35">
      <c r="A407" t="s">
        <v>465</v>
      </c>
      <c r="B407" s="1">
        <v>45484</v>
      </c>
      <c r="C407" t="s">
        <v>46</v>
      </c>
      <c r="D407" t="s">
        <v>79</v>
      </c>
      <c r="E407" t="s">
        <v>22</v>
      </c>
      <c r="F407" t="s">
        <v>52</v>
      </c>
      <c r="G407" t="s">
        <v>49</v>
      </c>
      <c r="H407">
        <v>11</v>
      </c>
      <c r="I407">
        <v>29478.17</v>
      </c>
      <c r="J407" s="2">
        <v>0</v>
      </c>
      <c r="K407" t="s">
        <v>44</v>
      </c>
      <c r="L407">
        <v>324259.87</v>
      </c>
      <c r="M407" t="str">
        <f>TEXT(Table1[[#This Row],[OrderDate]], "mmm")</f>
        <v>Jul</v>
      </c>
      <c r="N407" t="str">
        <f>IF(Table1[[#This Row],[TotalSales]]&gt;50000,"High",IF(L407&gt;20000,"Medium","Low"))</f>
        <v>High</v>
      </c>
      <c r="O407">
        <f>Table1[[#This Row],[TotalSales]]/Table1[[#This Row],[Quantity]]</f>
        <v>29478.17</v>
      </c>
    </row>
    <row r="408" spans="1:15" x14ac:dyDescent="0.35">
      <c r="A408" t="s">
        <v>466</v>
      </c>
      <c r="B408" s="1">
        <v>45546</v>
      </c>
      <c r="C408" t="s">
        <v>40</v>
      </c>
      <c r="D408" t="s">
        <v>55</v>
      </c>
      <c r="E408" t="s">
        <v>15</v>
      </c>
      <c r="F408" t="s">
        <v>56</v>
      </c>
      <c r="G408" t="s">
        <v>83</v>
      </c>
      <c r="H408">
        <v>15</v>
      </c>
      <c r="I408">
        <v>13222.8</v>
      </c>
      <c r="J408" s="2">
        <v>0.05</v>
      </c>
      <c r="K408" t="s">
        <v>31</v>
      </c>
      <c r="L408">
        <v>188424.9</v>
      </c>
      <c r="M408" t="str">
        <f>TEXT(Table1[[#This Row],[OrderDate]], "mmm")</f>
        <v>Sep</v>
      </c>
      <c r="N408" t="str">
        <f>IF(Table1[[#This Row],[TotalSales]]&gt;50000,"High",IF(L408&gt;20000,"Medium","Low"))</f>
        <v>High</v>
      </c>
      <c r="O408">
        <f>Table1[[#This Row],[TotalSales]]/Table1[[#This Row],[Quantity]]</f>
        <v>12561.66</v>
      </c>
    </row>
    <row r="409" spans="1:15" x14ac:dyDescent="0.35">
      <c r="A409" t="s">
        <v>467</v>
      </c>
      <c r="B409" s="1">
        <v>45304</v>
      </c>
      <c r="C409" t="s">
        <v>40</v>
      </c>
      <c r="D409" t="s">
        <v>51</v>
      </c>
      <c r="E409" t="s">
        <v>22</v>
      </c>
      <c r="F409" t="s">
        <v>23</v>
      </c>
      <c r="G409" t="s">
        <v>49</v>
      </c>
      <c r="H409">
        <v>13</v>
      </c>
      <c r="I409">
        <v>26649.94</v>
      </c>
      <c r="J409" s="2">
        <v>0.1</v>
      </c>
      <c r="K409" t="s">
        <v>44</v>
      </c>
      <c r="L409">
        <v>311804.3</v>
      </c>
      <c r="M409" t="str">
        <f>TEXT(Table1[[#This Row],[OrderDate]], "mmm")</f>
        <v>Jan</v>
      </c>
      <c r="N409" t="str">
        <f>IF(Table1[[#This Row],[TotalSales]]&gt;50000,"High",IF(L409&gt;20000,"Medium","Low"))</f>
        <v>High</v>
      </c>
      <c r="O409">
        <f>Table1[[#This Row],[TotalSales]]/Table1[[#This Row],[Quantity]]</f>
        <v>23984.946153846155</v>
      </c>
    </row>
    <row r="410" spans="1:15" x14ac:dyDescent="0.35">
      <c r="A410" t="s">
        <v>468</v>
      </c>
      <c r="B410" s="1">
        <v>45310</v>
      </c>
      <c r="C410" t="s">
        <v>20</v>
      </c>
      <c r="D410" t="s">
        <v>27</v>
      </c>
      <c r="E410" t="s">
        <v>22</v>
      </c>
      <c r="F410" t="s">
        <v>23</v>
      </c>
      <c r="G410" t="s">
        <v>17</v>
      </c>
      <c r="H410">
        <v>8</v>
      </c>
      <c r="I410">
        <v>21439.83</v>
      </c>
      <c r="J410" s="2">
        <v>0.2</v>
      </c>
      <c r="K410" t="s">
        <v>44</v>
      </c>
      <c r="L410">
        <v>137214.91</v>
      </c>
      <c r="M410" t="str">
        <f>TEXT(Table1[[#This Row],[OrderDate]], "mmm")</f>
        <v>Jan</v>
      </c>
      <c r="N410" t="str">
        <f>IF(Table1[[#This Row],[TotalSales]]&gt;50000,"High",IF(L410&gt;20000,"Medium","Low"))</f>
        <v>High</v>
      </c>
      <c r="O410">
        <f>Table1[[#This Row],[TotalSales]]/Table1[[#This Row],[Quantity]]</f>
        <v>17151.86375</v>
      </c>
    </row>
    <row r="411" spans="1:15" x14ac:dyDescent="0.35">
      <c r="A411" t="s">
        <v>469</v>
      </c>
      <c r="B411" s="1">
        <v>45629</v>
      </c>
      <c r="C411" t="s">
        <v>46</v>
      </c>
      <c r="D411" t="s">
        <v>71</v>
      </c>
      <c r="E411" t="s">
        <v>34</v>
      </c>
      <c r="F411" t="s">
        <v>35</v>
      </c>
      <c r="G411" t="s">
        <v>49</v>
      </c>
      <c r="H411">
        <v>12</v>
      </c>
      <c r="I411">
        <v>17323.95</v>
      </c>
      <c r="J411" s="2">
        <v>0.1</v>
      </c>
      <c r="K411" t="s">
        <v>44</v>
      </c>
      <c r="L411">
        <v>187098.66</v>
      </c>
      <c r="M411" t="str">
        <f>TEXT(Table1[[#This Row],[OrderDate]], "mmm")</f>
        <v>Dec</v>
      </c>
      <c r="N411" t="str">
        <f>IF(Table1[[#This Row],[TotalSales]]&gt;50000,"High",IF(L411&gt;20000,"Medium","Low"))</f>
        <v>High</v>
      </c>
      <c r="O411">
        <f>Table1[[#This Row],[TotalSales]]/Table1[[#This Row],[Quantity]]</f>
        <v>15591.555</v>
      </c>
    </row>
    <row r="412" spans="1:15" x14ac:dyDescent="0.35">
      <c r="A412" t="s">
        <v>470</v>
      </c>
      <c r="B412" s="1">
        <v>45368</v>
      </c>
      <c r="C412" t="s">
        <v>46</v>
      </c>
      <c r="D412" t="s">
        <v>79</v>
      </c>
      <c r="E412" t="s">
        <v>28</v>
      </c>
      <c r="F412" t="s">
        <v>104</v>
      </c>
      <c r="G412" t="s">
        <v>83</v>
      </c>
      <c r="H412">
        <v>3</v>
      </c>
      <c r="I412">
        <v>15195.3</v>
      </c>
      <c r="J412" s="2">
        <v>0</v>
      </c>
      <c r="K412" t="s">
        <v>44</v>
      </c>
      <c r="L412">
        <v>45585.9</v>
      </c>
      <c r="M412" t="str">
        <f>TEXT(Table1[[#This Row],[OrderDate]], "mmm")</f>
        <v>Mar</v>
      </c>
      <c r="N412" t="str">
        <f>IF(Table1[[#This Row],[TotalSales]]&gt;50000,"High",IF(L412&gt;20000,"Medium","Low"))</f>
        <v>Medium</v>
      </c>
      <c r="O412">
        <f>Table1[[#This Row],[TotalSales]]/Table1[[#This Row],[Quantity]]</f>
        <v>15195.300000000001</v>
      </c>
    </row>
    <row r="413" spans="1:15" x14ac:dyDescent="0.35">
      <c r="A413" t="s">
        <v>471</v>
      </c>
      <c r="B413" s="1">
        <v>45328</v>
      </c>
      <c r="C413" t="s">
        <v>20</v>
      </c>
      <c r="D413" t="s">
        <v>27</v>
      </c>
      <c r="E413" t="s">
        <v>22</v>
      </c>
      <c r="F413" t="s">
        <v>52</v>
      </c>
      <c r="G413" t="s">
        <v>43</v>
      </c>
      <c r="H413">
        <v>5</v>
      </c>
      <c r="I413">
        <v>33806.81</v>
      </c>
      <c r="J413" s="2">
        <v>0</v>
      </c>
      <c r="K413" t="s">
        <v>31</v>
      </c>
      <c r="L413">
        <v>169034.05</v>
      </c>
      <c r="M413" t="str">
        <f>TEXT(Table1[[#This Row],[OrderDate]], "mmm")</f>
        <v>Feb</v>
      </c>
      <c r="N413" t="str">
        <f>IF(Table1[[#This Row],[TotalSales]]&gt;50000,"High",IF(L413&gt;20000,"Medium","Low"))</f>
        <v>High</v>
      </c>
      <c r="O413">
        <f>Table1[[#This Row],[TotalSales]]/Table1[[#This Row],[Quantity]]</f>
        <v>33806.81</v>
      </c>
    </row>
    <row r="414" spans="1:15" x14ac:dyDescent="0.35">
      <c r="A414" t="s">
        <v>472</v>
      </c>
      <c r="B414" s="1">
        <v>45492</v>
      </c>
      <c r="C414" t="s">
        <v>46</v>
      </c>
      <c r="D414" t="s">
        <v>79</v>
      </c>
      <c r="E414" t="s">
        <v>34</v>
      </c>
      <c r="F414" t="s">
        <v>35</v>
      </c>
      <c r="G414" t="s">
        <v>83</v>
      </c>
      <c r="H414">
        <v>3</v>
      </c>
      <c r="I414">
        <v>38816.33</v>
      </c>
      <c r="J414" s="2">
        <v>0.1</v>
      </c>
      <c r="K414" t="s">
        <v>18</v>
      </c>
      <c r="L414">
        <v>104804.09</v>
      </c>
      <c r="M414" t="str">
        <f>TEXT(Table1[[#This Row],[OrderDate]], "mmm")</f>
        <v>Jul</v>
      </c>
      <c r="N414" t="str">
        <f>IF(Table1[[#This Row],[TotalSales]]&gt;50000,"High",IF(L414&gt;20000,"Medium","Low"))</f>
        <v>High</v>
      </c>
      <c r="O414">
        <f>Table1[[#This Row],[TotalSales]]/Table1[[#This Row],[Quantity]]</f>
        <v>34934.696666666663</v>
      </c>
    </row>
    <row r="415" spans="1:15" x14ac:dyDescent="0.35">
      <c r="A415" t="s">
        <v>473</v>
      </c>
      <c r="B415" s="1">
        <v>45649</v>
      </c>
      <c r="C415" t="s">
        <v>20</v>
      </c>
      <c r="D415" t="s">
        <v>27</v>
      </c>
      <c r="E415" t="s">
        <v>15</v>
      </c>
      <c r="F415" t="s">
        <v>38</v>
      </c>
      <c r="G415" t="s">
        <v>69</v>
      </c>
      <c r="H415">
        <v>8</v>
      </c>
      <c r="I415">
        <v>5530.01</v>
      </c>
      <c r="J415" s="2">
        <v>0</v>
      </c>
      <c r="K415" t="s">
        <v>18</v>
      </c>
      <c r="L415">
        <v>44240.08</v>
      </c>
      <c r="M415" t="str">
        <f>TEXT(Table1[[#This Row],[OrderDate]], "mmm")</f>
        <v>Dec</v>
      </c>
      <c r="N415" t="str">
        <f>IF(Table1[[#This Row],[TotalSales]]&gt;50000,"High",IF(L415&gt;20000,"Medium","Low"))</f>
        <v>Medium</v>
      </c>
      <c r="O415">
        <f>Table1[[#This Row],[TotalSales]]/Table1[[#This Row],[Quantity]]</f>
        <v>5530.01</v>
      </c>
    </row>
    <row r="416" spans="1:15" x14ac:dyDescent="0.35">
      <c r="A416" t="s">
        <v>474</v>
      </c>
      <c r="B416" s="1">
        <v>45650</v>
      </c>
      <c r="C416" t="s">
        <v>40</v>
      </c>
      <c r="D416" t="s">
        <v>55</v>
      </c>
      <c r="E416" t="s">
        <v>28</v>
      </c>
      <c r="F416" t="s">
        <v>29</v>
      </c>
      <c r="G416" t="s">
        <v>17</v>
      </c>
      <c r="H416">
        <v>15</v>
      </c>
      <c r="I416">
        <v>36651.9</v>
      </c>
      <c r="J416" s="2">
        <v>0.2</v>
      </c>
      <c r="K416" t="s">
        <v>44</v>
      </c>
      <c r="L416">
        <v>439822.8</v>
      </c>
      <c r="M416" t="str">
        <f>TEXT(Table1[[#This Row],[OrderDate]], "mmm")</f>
        <v>Dec</v>
      </c>
      <c r="N416" t="str">
        <f>IF(Table1[[#This Row],[TotalSales]]&gt;50000,"High",IF(L416&gt;20000,"Medium","Low"))</f>
        <v>High</v>
      </c>
      <c r="O416">
        <f>Table1[[#This Row],[TotalSales]]/Table1[[#This Row],[Quantity]]</f>
        <v>29321.52</v>
      </c>
    </row>
    <row r="417" spans="1:15" x14ac:dyDescent="0.35">
      <c r="A417" t="s">
        <v>475</v>
      </c>
      <c r="B417" s="1">
        <v>45470</v>
      </c>
      <c r="C417" t="s">
        <v>20</v>
      </c>
      <c r="D417" t="s">
        <v>97</v>
      </c>
      <c r="E417" t="s">
        <v>34</v>
      </c>
      <c r="F417" t="s">
        <v>88</v>
      </c>
      <c r="G417" t="s">
        <v>17</v>
      </c>
      <c r="H417">
        <v>10</v>
      </c>
      <c r="I417">
        <v>31692.37</v>
      </c>
      <c r="J417" s="2">
        <v>0.1</v>
      </c>
      <c r="K417" t="s">
        <v>44</v>
      </c>
      <c r="L417">
        <v>285231.33</v>
      </c>
      <c r="M417" t="str">
        <f>TEXT(Table1[[#This Row],[OrderDate]], "mmm")</f>
        <v>Jun</v>
      </c>
      <c r="N417" t="str">
        <f>IF(Table1[[#This Row],[TotalSales]]&gt;50000,"High",IF(L417&gt;20000,"Medium","Low"))</f>
        <v>High</v>
      </c>
      <c r="O417">
        <f>Table1[[#This Row],[TotalSales]]/Table1[[#This Row],[Quantity]]</f>
        <v>28523.133000000002</v>
      </c>
    </row>
    <row r="418" spans="1:15" x14ac:dyDescent="0.35">
      <c r="A418" t="s">
        <v>476</v>
      </c>
      <c r="B418" s="1">
        <v>45609</v>
      </c>
      <c r="C418" t="s">
        <v>40</v>
      </c>
      <c r="D418" t="s">
        <v>55</v>
      </c>
      <c r="E418" t="s">
        <v>34</v>
      </c>
      <c r="F418" t="s">
        <v>88</v>
      </c>
      <c r="G418" t="s">
        <v>66</v>
      </c>
      <c r="H418">
        <v>4</v>
      </c>
      <c r="I418">
        <v>30227.61</v>
      </c>
      <c r="J418" s="2">
        <v>0.05</v>
      </c>
      <c r="K418" t="s">
        <v>44</v>
      </c>
      <c r="L418">
        <v>114864.92</v>
      </c>
      <c r="M418" t="str">
        <f>TEXT(Table1[[#This Row],[OrderDate]], "mmm")</f>
        <v>Nov</v>
      </c>
      <c r="N418" t="str">
        <f>IF(Table1[[#This Row],[TotalSales]]&gt;50000,"High",IF(L418&gt;20000,"Medium","Low"))</f>
        <v>High</v>
      </c>
      <c r="O418">
        <f>Table1[[#This Row],[TotalSales]]/Table1[[#This Row],[Quantity]]</f>
        <v>28716.23</v>
      </c>
    </row>
    <row r="419" spans="1:15" x14ac:dyDescent="0.35">
      <c r="A419" t="s">
        <v>477</v>
      </c>
      <c r="B419" s="1">
        <v>45656</v>
      </c>
      <c r="C419" t="s">
        <v>46</v>
      </c>
      <c r="D419" t="s">
        <v>71</v>
      </c>
      <c r="E419" t="s">
        <v>22</v>
      </c>
      <c r="F419" t="s">
        <v>42</v>
      </c>
      <c r="G419" t="s">
        <v>24</v>
      </c>
      <c r="H419">
        <v>10</v>
      </c>
      <c r="I419">
        <v>46053.8</v>
      </c>
      <c r="J419" s="2">
        <v>0</v>
      </c>
      <c r="K419" t="s">
        <v>44</v>
      </c>
      <c r="L419">
        <v>460538</v>
      </c>
      <c r="M419" t="str">
        <f>TEXT(Table1[[#This Row],[OrderDate]], "mmm")</f>
        <v>Dec</v>
      </c>
      <c r="N419" t="str">
        <f>IF(Table1[[#This Row],[TotalSales]]&gt;50000,"High",IF(L419&gt;20000,"Medium","Low"))</f>
        <v>High</v>
      </c>
      <c r="O419">
        <f>Table1[[#This Row],[TotalSales]]/Table1[[#This Row],[Quantity]]</f>
        <v>46053.8</v>
      </c>
    </row>
    <row r="420" spans="1:15" x14ac:dyDescent="0.35">
      <c r="A420" t="s">
        <v>478</v>
      </c>
      <c r="B420" s="1">
        <v>45597</v>
      </c>
      <c r="C420" t="s">
        <v>46</v>
      </c>
      <c r="D420" t="s">
        <v>71</v>
      </c>
      <c r="E420" t="s">
        <v>34</v>
      </c>
      <c r="F420" t="s">
        <v>35</v>
      </c>
      <c r="G420" t="s">
        <v>43</v>
      </c>
      <c r="H420">
        <v>13</v>
      </c>
      <c r="I420">
        <v>45128.639999999999</v>
      </c>
      <c r="J420" s="2">
        <v>0</v>
      </c>
      <c r="K420" t="s">
        <v>18</v>
      </c>
      <c r="L420">
        <v>586672.31999999995</v>
      </c>
      <c r="M420" t="str">
        <f>TEXT(Table1[[#This Row],[OrderDate]], "mmm")</f>
        <v>Nov</v>
      </c>
      <c r="N420" t="str">
        <f>IF(Table1[[#This Row],[TotalSales]]&gt;50000,"High",IF(L420&gt;20000,"Medium","Low"))</f>
        <v>High</v>
      </c>
      <c r="O420">
        <f>Table1[[#This Row],[TotalSales]]/Table1[[#This Row],[Quantity]]</f>
        <v>45128.639999999999</v>
      </c>
    </row>
    <row r="421" spans="1:15" x14ac:dyDescent="0.35">
      <c r="A421" t="s">
        <v>479</v>
      </c>
      <c r="B421" s="1">
        <v>45607</v>
      </c>
      <c r="C421" t="s">
        <v>13</v>
      </c>
      <c r="D421" t="s">
        <v>37</v>
      </c>
      <c r="E421" t="s">
        <v>22</v>
      </c>
      <c r="F421" t="s">
        <v>82</v>
      </c>
      <c r="G421" t="s">
        <v>49</v>
      </c>
      <c r="H421">
        <v>10</v>
      </c>
      <c r="I421">
        <v>24704.36</v>
      </c>
      <c r="J421" s="2">
        <v>0</v>
      </c>
      <c r="K421" t="s">
        <v>25</v>
      </c>
      <c r="L421">
        <v>247043.6</v>
      </c>
      <c r="M421" t="str">
        <f>TEXT(Table1[[#This Row],[OrderDate]], "mmm")</f>
        <v>Nov</v>
      </c>
      <c r="N421" t="str">
        <f>IF(Table1[[#This Row],[TotalSales]]&gt;50000,"High",IF(L421&gt;20000,"Medium","Low"))</f>
        <v>High</v>
      </c>
      <c r="O421">
        <f>Table1[[#This Row],[TotalSales]]/Table1[[#This Row],[Quantity]]</f>
        <v>24704.36</v>
      </c>
    </row>
    <row r="422" spans="1:15" x14ac:dyDescent="0.35">
      <c r="A422" t="s">
        <v>480</v>
      </c>
      <c r="B422" s="1">
        <v>45553</v>
      </c>
      <c r="C422" t="s">
        <v>46</v>
      </c>
      <c r="D422" t="s">
        <v>71</v>
      </c>
      <c r="E422" t="s">
        <v>28</v>
      </c>
      <c r="F422" t="s">
        <v>76</v>
      </c>
      <c r="G422" t="s">
        <v>83</v>
      </c>
      <c r="H422">
        <v>7</v>
      </c>
      <c r="I422">
        <v>46650.49</v>
      </c>
      <c r="J422" s="2">
        <v>0.2</v>
      </c>
      <c r="K422" t="s">
        <v>31</v>
      </c>
      <c r="L422">
        <v>261242.74</v>
      </c>
      <c r="M422" t="str">
        <f>TEXT(Table1[[#This Row],[OrderDate]], "mmm")</f>
        <v>Sep</v>
      </c>
      <c r="N422" t="str">
        <f>IF(Table1[[#This Row],[TotalSales]]&gt;50000,"High",IF(L422&gt;20000,"Medium","Low"))</f>
        <v>High</v>
      </c>
      <c r="O422">
        <f>Table1[[#This Row],[TotalSales]]/Table1[[#This Row],[Quantity]]</f>
        <v>37320.391428571427</v>
      </c>
    </row>
    <row r="423" spans="1:15" x14ac:dyDescent="0.35">
      <c r="A423" t="s">
        <v>481</v>
      </c>
      <c r="B423" s="1">
        <v>45651</v>
      </c>
      <c r="C423" t="s">
        <v>20</v>
      </c>
      <c r="D423" t="s">
        <v>97</v>
      </c>
      <c r="E423" t="s">
        <v>28</v>
      </c>
      <c r="F423" t="s">
        <v>76</v>
      </c>
      <c r="G423" t="s">
        <v>24</v>
      </c>
      <c r="H423">
        <v>10</v>
      </c>
      <c r="I423">
        <v>21805.9</v>
      </c>
      <c r="J423" s="2">
        <v>0</v>
      </c>
      <c r="K423" t="s">
        <v>25</v>
      </c>
      <c r="L423">
        <v>218059</v>
      </c>
      <c r="M423" t="str">
        <f>TEXT(Table1[[#This Row],[OrderDate]], "mmm")</f>
        <v>Dec</v>
      </c>
      <c r="N423" t="str">
        <f>IF(Table1[[#This Row],[TotalSales]]&gt;50000,"High",IF(L423&gt;20000,"Medium","Low"))</f>
        <v>High</v>
      </c>
      <c r="O423">
        <f>Table1[[#This Row],[TotalSales]]/Table1[[#This Row],[Quantity]]</f>
        <v>21805.9</v>
      </c>
    </row>
    <row r="424" spans="1:15" x14ac:dyDescent="0.35">
      <c r="A424" t="s">
        <v>482</v>
      </c>
      <c r="B424" s="1">
        <v>45505</v>
      </c>
      <c r="C424" t="s">
        <v>40</v>
      </c>
      <c r="D424" t="s">
        <v>41</v>
      </c>
      <c r="E424" t="s">
        <v>22</v>
      </c>
      <c r="F424" t="s">
        <v>42</v>
      </c>
      <c r="G424" t="s">
        <v>30</v>
      </c>
      <c r="H424">
        <v>3</v>
      </c>
      <c r="I424">
        <v>16008.2</v>
      </c>
      <c r="J424" s="2">
        <v>0.2</v>
      </c>
      <c r="K424" t="s">
        <v>25</v>
      </c>
      <c r="L424">
        <f>(Table1[[#This Row],[Quantity]]*Table1[[#This Row],[UnitPrice]])-(Table1[[#This Row],[Quantity]]*Table1[[#This Row],[UnitPrice]])*Table1[[#This Row],[Discount%]]</f>
        <v>38419.680000000008</v>
      </c>
      <c r="M424" t="str">
        <f>TEXT(Table1[[#This Row],[OrderDate]], "mmm")</f>
        <v>Aug</v>
      </c>
      <c r="N424" t="str">
        <f>IF(Table1[[#This Row],[TotalSales]]&gt;50000,"High",IF(L424&gt;20000,"Medium","Low"))</f>
        <v>Medium</v>
      </c>
      <c r="O424">
        <f>Table1[[#This Row],[TotalSales]]/Table1[[#This Row],[Quantity]]</f>
        <v>12806.560000000003</v>
      </c>
    </row>
    <row r="425" spans="1:15" x14ac:dyDescent="0.35">
      <c r="A425" t="s">
        <v>483</v>
      </c>
      <c r="B425" s="1">
        <v>45504</v>
      </c>
      <c r="C425" t="s">
        <v>20</v>
      </c>
      <c r="D425" t="s">
        <v>21</v>
      </c>
      <c r="E425" t="s">
        <v>22</v>
      </c>
      <c r="F425" t="s">
        <v>23</v>
      </c>
      <c r="G425" t="s">
        <v>66</v>
      </c>
      <c r="H425">
        <v>14</v>
      </c>
      <c r="I425">
        <v>25190.37</v>
      </c>
      <c r="J425" s="2">
        <v>0.2</v>
      </c>
      <c r="K425" t="s">
        <v>25</v>
      </c>
      <c r="L425">
        <v>282132.14</v>
      </c>
      <c r="M425" t="str">
        <f>TEXT(Table1[[#This Row],[OrderDate]], "mmm")</f>
        <v>Jul</v>
      </c>
      <c r="N425" t="str">
        <f>IF(Table1[[#This Row],[TotalSales]]&gt;50000,"High",IF(L425&gt;20000,"Medium","Low"))</f>
        <v>High</v>
      </c>
      <c r="O425">
        <f>Table1[[#This Row],[TotalSales]]/Table1[[#This Row],[Quantity]]</f>
        <v>20152.295714285716</v>
      </c>
    </row>
    <row r="426" spans="1:15" x14ac:dyDescent="0.35">
      <c r="A426" t="s">
        <v>484</v>
      </c>
      <c r="B426" s="1">
        <v>45509</v>
      </c>
      <c r="C426" t="s">
        <v>20</v>
      </c>
      <c r="D426" t="s">
        <v>27</v>
      </c>
      <c r="E426" t="s">
        <v>34</v>
      </c>
      <c r="F426" t="s">
        <v>48</v>
      </c>
      <c r="G426" t="s">
        <v>83</v>
      </c>
      <c r="H426">
        <v>10</v>
      </c>
      <c r="I426">
        <v>607.16</v>
      </c>
      <c r="J426" s="2">
        <v>0.05</v>
      </c>
      <c r="K426" t="s">
        <v>31</v>
      </c>
      <c r="L426">
        <v>5768.02</v>
      </c>
      <c r="M426" t="str">
        <f>TEXT(Table1[[#This Row],[OrderDate]], "mmm")</f>
        <v>Aug</v>
      </c>
      <c r="N426" t="str">
        <f>IF(Table1[[#This Row],[TotalSales]]&gt;50000,"High",IF(L426&gt;20000,"Medium","Low"))</f>
        <v>Low</v>
      </c>
      <c r="O426">
        <f>Table1[[#This Row],[TotalSales]]/Table1[[#This Row],[Quantity]]</f>
        <v>576.80200000000002</v>
      </c>
    </row>
    <row r="427" spans="1:15" x14ac:dyDescent="0.35">
      <c r="A427" t="s">
        <v>485</v>
      </c>
      <c r="B427" s="1">
        <v>45589</v>
      </c>
      <c r="C427" t="s">
        <v>13</v>
      </c>
      <c r="D427" t="s">
        <v>14</v>
      </c>
      <c r="E427" t="s">
        <v>15</v>
      </c>
      <c r="F427" t="s">
        <v>38</v>
      </c>
      <c r="G427" t="s">
        <v>49</v>
      </c>
      <c r="H427">
        <v>8</v>
      </c>
      <c r="I427">
        <v>52903.23</v>
      </c>
      <c r="J427" s="2">
        <v>0</v>
      </c>
      <c r="K427" t="s">
        <v>25</v>
      </c>
      <c r="L427">
        <v>423225.84</v>
      </c>
      <c r="M427" t="str">
        <f>TEXT(Table1[[#This Row],[OrderDate]], "mmm")</f>
        <v>Oct</v>
      </c>
      <c r="N427" t="str">
        <f>IF(Table1[[#This Row],[TotalSales]]&gt;50000,"High",IF(L427&gt;20000,"Medium","Low"))</f>
        <v>High</v>
      </c>
      <c r="O427">
        <f>Table1[[#This Row],[TotalSales]]/Table1[[#This Row],[Quantity]]</f>
        <v>52903.23</v>
      </c>
    </row>
    <row r="428" spans="1:15" x14ac:dyDescent="0.35">
      <c r="A428" t="s">
        <v>486</v>
      </c>
      <c r="B428" s="1">
        <v>45614</v>
      </c>
      <c r="C428" t="s">
        <v>20</v>
      </c>
      <c r="D428" t="s">
        <v>97</v>
      </c>
      <c r="E428" t="s">
        <v>15</v>
      </c>
      <c r="F428" t="s">
        <v>16</v>
      </c>
      <c r="G428" t="s">
        <v>43</v>
      </c>
      <c r="H428">
        <v>12</v>
      </c>
      <c r="I428">
        <v>36572.78</v>
      </c>
      <c r="J428" s="2">
        <v>0.15</v>
      </c>
      <c r="K428" t="s">
        <v>44</v>
      </c>
      <c r="L428">
        <v>373042.36</v>
      </c>
      <c r="M428" t="str">
        <f>TEXT(Table1[[#This Row],[OrderDate]], "mmm")</f>
        <v>Nov</v>
      </c>
      <c r="N428" t="str">
        <f>IF(Table1[[#This Row],[TotalSales]]&gt;50000,"High",IF(L428&gt;20000,"Medium","Low"))</f>
        <v>High</v>
      </c>
      <c r="O428">
        <f>Table1[[#This Row],[TotalSales]]/Table1[[#This Row],[Quantity]]</f>
        <v>31086.863333333331</v>
      </c>
    </row>
    <row r="429" spans="1:15" x14ac:dyDescent="0.35">
      <c r="A429" t="s">
        <v>487</v>
      </c>
      <c r="B429" s="1">
        <v>45532</v>
      </c>
      <c r="C429" t="s">
        <v>40</v>
      </c>
      <c r="D429" t="s">
        <v>51</v>
      </c>
      <c r="E429" t="s">
        <v>15</v>
      </c>
      <c r="F429" t="s">
        <v>38</v>
      </c>
      <c r="G429" t="s">
        <v>49</v>
      </c>
      <c r="H429">
        <v>10</v>
      </c>
      <c r="I429">
        <v>40413.040000000001</v>
      </c>
      <c r="J429" s="2">
        <v>0.05</v>
      </c>
      <c r="K429" t="s">
        <v>44</v>
      </c>
      <c r="L429">
        <v>383923.88</v>
      </c>
      <c r="M429" t="str">
        <f>TEXT(Table1[[#This Row],[OrderDate]], "mmm")</f>
        <v>Aug</v>
      </c>
      <c r="N429" t="str">
        <f>IF(Table1[[#This Row],[TotalSales]]&gt;50000,"High",IF(L429&gt;20000,"Medium","Low"))</f>
        <v>High</v>
      </c>
      <c r="O429">
        <f>Table1[[#This Row],[TotalSales]]/Table1[[#This Row],[Quantity]]</f>
        <v>38392.387999999999</v>
      </c>
    </row>
    <row r="430" spans="1:15" x14ac:dyDescent="0.35">
      <c r="A430" t="s">
        <v>488</v>
      </c>
      <c r="B430" s="1">
        <v>45318</v>
      </c>
      <c r="C430" t="s">
        <v>20</v>
      </c>
      <c r="D430" t="s">
        <v>21</v>
      </c>
      <c r="E430" t="s">
        <v>15</v>
      </c>
      <c r="F430" t="s">
        <v>38</v>
      </c>
      <c r="G430" t="s">
        <v>17</v>
      </c>
      <c r="H430">
        <v>11</v>
      </c>
      <c r="I430">
        <v>54471.99</v>
      </c>
      <c r="J430" s="2">
        <v>0.2</v>
      </c>
      <c r="K430" t="s">
        <v>44</v>
      </c>
      <c r="L430">
        <v>479353.51</v>
      </c>
      <c r="M430" t="str">
        <f>TEXT(Table1[[#This Row],[OrderDate]], "mmm")</f>
        <v>Jan</v>
      </c>
      <c r="N430" t="str">
        <f>IF(Table1[[#This Row],[TotalSales]]&gt;50000,"High",IF(L430&gt;20000,"Medium","Low"))</f>
        <v>High</v>
      </c>
      <c r="O430">
        <f>Table1[[#This Row],[TotalSales]]/Table1[[#This Row],[Quantity]]</f>
        <v>43577.59181818182</v>
      </c>
    </row>
    <row r="431" spans="1:15" x14ac:dyDescent="0.35">
      <c r="A431" t="s">
        <v>489</v>
      </c>
      <c r="B431" s="1">
        <v>45423</v>
      </c>
      <c r="C431" t="s">
        <v>13</v>
      </c>
      <c r="D431" t="s">
        <v>37</v>
      </c>
      <c r="E431" t="s">
        <v>28</v>
      </c>
      <c r="F431" t="s">
        <v>125</v>
      </c>
      <c r="G431" t="s">
        <v>24</v>
      </c>
      <c r="H431">
        <v>1</v>
      </c>
      <c r="I431">
        <v>40830.32</v>
      </c>
      <c r="J431" s="2">
        <v>0.1</v>
      </c>
      <c r="K431" t="s">
        <v>44</v>
      </c>
      <c r="L431">
        <v>36747.29</v>
      </c>
      <c r="M431" t="str">
        <f>TEXT(Table1[[#This Row],[OrderDate]], "mmm")</f>
        <v>May</v>
      </c>
      <c r="N431" t="str">
        <f>IF(Table1[[#This Row],[TotalSales]]&gt;50000,"High",IF(L431&gt;20000,"Medium","Low"))</f>
        <v>Medium</v>
      </c>
      <c r="O431">
        <f>Table1[[#This Row],[TotalSales]]/Table1[[#This Row],[Quantity]]</f>
        <v>36747.29</v>
      </c>
    </row>
    <row r="432" spans="1:15" x14ac:dyDescent="0.35">
      <c r="A432" t="s">
        <v>490</v>
      </c>
      <c r="B432" s="1">
        <v>45308</v>
      </c>
      <c r="C432" t="s">
        <v>20</v>
      </c>
      <c r="D432" t="s">
        <v>21</v>
      </c>
      <c r="E432" t="s">
        <v>22</v>
      </c>
      <c r="F432" t="s">
        <v>82</v>
      </c>
      <c r="G432" t="s">
        <v>66</v>
      </c>
      <c r="H432">
        <v>6</v>
      </c>
      <c r="I432">
        <v>54127.13</v>
      </c>
      <c r="J432" s="2">
        <v>0</v>
      </c>
      <c r="K432" t="s">
        <v>25</v>
      </c>
      <c r="L432">
        <v>324762.78000000003</v>
      </c>
      <c r="M432" t="str">
        <f>TEXT(Table1[[#This Row],[OrderDate]], "mmm")</f>
        <v>Jan</v>
      </c>
      <c r="N432" t="str">
        <f>IF(Table1[[#This Row],[TotalSales]]&gt;50000,"High",IF(L432&gt;20000,"Medium","Low"))</f>
        <v>High</v>
      </c>
      <c r="O432">
        <f>Table1[[#This Row],[TotalSales]]/Table1[[#This Row],[Quantity]]</f>
        <v>54127.130000000005</v>
      </c>
    </row>
    <row r="433" spans="1:15" x14ac:dyDescent="0.35">
      <c r="A433" t="s">
        <v>491</v>
      </c>
      <c r="B433" s="1">
        <v>45587</v>
      </c>
      <c r="C433" t="s">
        <v>20</v>
      </c>
      <c r="D433" t="s">
        <v>27</v>
      </c>
      <c r="E433" t="s">
        <v>22</v>
      </c>
      <c r="F433" t="s">
        <v>82</v>
      </c>
      <c r="G433" t="s">
        <v>66</v>
      </c>
      <c r="H433">
        <v>12</v>
      </c>
      <c r="I433">
        <v>46332.45</v>
      </c>
      <c r="J433" s="2">
        <v>0</v>
      </c>
      <c r="K433" t="s">
        <v>25</v>
      </c>
      <c r="L433">
        <v>555989.4</v>
      </c>
      <c r="M433" t="str">
        <f>TEXT(Table1[[#This Row],[OrderDate]], "mmm")</f>
        <v>Oct</v>
      </c>
      <c r="N433" t="str">
        <f>IF(Table1[[#This Row],[TotalSales]]&gt;50000,"High",IF(L433&gt;20000,"Medium","Low"))</f>
        <v>High</v>
      </c>
      <c r="O433">
        <f>Table1[[#This Row],[TotalSales]]/Table1[[#This Row],[Quantity]]</f>
        <v>46332.450000000004</v>
      </c>
    </row>
    <row r="434" spans="1:15" x14ac:dyDescent="0.35">
      <c r="A434" t="s">
        <v>492</v>
      </c>
      <c r="B434" s="1">
        <v>45641</v>
      </c>
      <c r="C434" t="s">
        <v>20</v>
      </c>
      <c r="D434" t="s">
        <v>97</v>
      </c>
      <c r="E434" t="s">
        <v>28</v>
      </c>
      <c r="F434" t="s">
        <v>104</v>
      </c>
      <c r="G434" t="s">
        <v>30</v>
      </c>
      <c r="H434">
        <v>12</v>
      </c>
      <c r="I434">
        <v>21575.86</v>
      </c>
      <c r="J434" s="2">
        <v>0</v>
      </c>
      <c r="K434" t="s">
        <v>25</v>
      </c>
      <c r="L434">
        <v>258910.32</v>
      </c>
      <c r="M434" t="str">
        <f>TEXT(Table1[[#This Row],[OrderDate]], "mmm")</f>
        <v>Dec</v>
      </c>
      <c r="N434" t="str">
        <f>IF(Table1[[#This Row],[TotalSales]]&gt;50000,"High",IF(L434&gt;20000,"Medium","Low"))</f>
        <v>High</v>
      </c>
      <c r="O434">
        <f>Table1[[#This Row],[TotalSales]]/Table1[[#This Row],[Quantity]]</f>
        <v>21575.86</v>
      </c>
    </row>
    <row r="435" spans="1:15" x14ac:dyDescent="0.35">
      <c r="A435" t="s">
        <v>493</v>
      </c>
      <c r="B435" s="1">
        <v>45618</v>
      </c>
      <c r="C435" t="s">
        <v>46</v>
      </c>
      <c r="D435" t="s">
        <v>71</v>
      </c>
      <c r="E435" t="s">
        <v>28</v>
      </c>
      <c r="F435" t="s">
        <v>76</v>
      </c>
      <c r="G435" t="s">
        <v>17</v>
      </c>
      <c r="H435">
        <v>6</v>
      </c>
      <c r="I435">
        <v>52598.86</v>
      </c>
      <c r="J435" s="2">
        <v>0.05</v>
      </c>
      <c r="K435" t="s">
        <v>44</v>
      </c>
      <c r="L435">
        <v>299813.5</v>
      </c>
      <c r="M435" t="str">
        <f>TEXT(Table1[[#This Row],[OrderDate]], "mmm")</f>
        <v>Nov</v>
      </c>
      <c r="N435" t="str">
        <f>IF(Table1[[#This Row],[TotalSales]]&gt;50000,"High",IF(L435&gt;20000,"Medium","Low"))</f>
        <v>High</v>
      </c>
      <c r="O435">
        <f>Table1[[#This Row],[TotalSales]]/Table1[[#This Row],[Quantity]]</f>
        <v>49968.916666666664</v>
      </c>
    </row>
    <row r="436" spans="1:15" x14ac:dyDescent="0.35">
      <c r="A436" t="s">
        <v>494</v>
      </c>
      <c r="B436" s="1">
        <v>45636</v>
      </c>
      <c r="C436" t="s">
        <v>20</v>
      </c>
      <c r="D436" t="s">
        <v>21</v>
      </c>
      <c r="E436" t="s">
        <v>34</v>
      </c>
      <c r="F436" t="s">
        <v>88</v>
      </c>
      <c r="G436" t="s">
        <v>43</v>
      </c>
      <c r="H436">
        <v>10</v>
      </c>
      <c r="I436">
        <v>42423.25</v>
      </c>
      <c r="J436" s="2">
        <v>0.1</v>
      </c>
      <c r="K436" t="s">
        <v>31</v>
      </c>
      <c r="L436">
        <v>381809.25</v>
      </c>
      <c r="M436" t="str">
        <f>TEXT(Table1[[#This Row],[OrderDate]], "mmm")</f>
        <v>Dec</v>
      </c>
      <c r="N436" t="str">
        <f>IF(Table1[[#This Row],[TotalSales]]&gt;50000,"High",IF(L436&gt;20000,"Medium","Low"))</f>
        <v>High</v>
      </c>
      <c r="O436">
        <f>Table1[[#This Row],[TotalSales]]/Table1[[#This Row],[Quantity]]</f>
        <v>38180.925000000003</v>
      </c>
    </row>
    <row r="437" spans="1:15" x14ac:dyDescent="0.35">
      <c r="A437" t="s">
        <v>495</v>
      </c>
      <c r="B437" s="1">
        <v>45345</v>
      </c>
      <c r="C437" t="s">
        <v>46</v>
      </c>
      <c r="D437" t="s">
        <v>71</v>
      </c>
      <c r="E437" t="s">
        <v>15</v>
      </c>
      <c r="F437" t="s">
        <v>38</v>
      </c>
      <c r="G437" t="s">
        <v>43</v>
      </c>
      <c r="H437">
        <v>11</v>
      </c>
      <c r="I437">
        <v>24637.63</v>
      </c>
      <c r="J437" s="2">
        <v>0</v>
      </c>
      <c r="K437" t="s">
        <v>18</v>
      </c>
      <c r="L437">
        <v>271013.93</v>
      </c>
      <c r="M437" t="str">
        <f>TEXT(Table1[[#This Row],[OrderDate]], "mmm")</f>
        <v>Feb</v>
      </c>
      <c r="N437" t="str">
        <f>IF(Table1[[#This Row],[TotalSales]]&gt;50000,"High",IF(L437&gt;20000,"Medium","Low"))</f>
        <v>High</v>
      </c>
      <c r="O437">
        <f>Table1[[#This Row],[TotalSales]]/Table1[[#This Row],[Quantity]]</f>
        <v>24637.63</v>
      </c>
    </row>
    <row r="438" spans="1:15" x14ac:dyDescent="0.35">
      <c r="A438" t="s">
        <v>496</v>
      </c>
      <c r="B438" s="1">
        <v>45358</v>
      </c>
      <c r="C438" t="s">
        <v>46</v>
      </c>
      <c r="D438" t="s">
        <v>71</v>
      </c>
      <c r="E438" t="s">
        <v>15</v>
      </c>
      <c r="F438" t="s">
        <v>16</v>
      </c>
      <c r="G438" t="s">
        <v>49</v>
      </c>
      <c r="H438">
        <v>7</v>
      </c>
      <c r="I438">
        <v>36170.43</v>
      </c>
      <c r="J438" s="2">
        <v>0.15</v>
      </c>
      <c r="K438" t="s">
        <v>44</v>
      </c>
      <c r="L438">
        <v>215214.06</v>
      </c>
      <c r="M438" t="str">
        <f>TEXT(Table1[[#This Row],[OrderDate]], "mmm")</f>
        <v>Mar</v>
      </c>
      <c r="N438" t="str">
        <f>IF(Table1[[#This Row],[TotalSales]]&gt;50000,"High",IF(L438&gt;20000,"Medium","Low"))</f>
        <v>High</v>
      </c>
      <c r="O438">
        <f>Table1[[#This Row],[TotalSales]]/Table1[[#This Row],[Quantity]]</f>
        <v>30744.865714285716</v>
      </c>
    </row>
    <row r="439" spans="1:15" x14ac:dyDescent="0.35">
      <c r="A439" t="s">
        <v>497</v>
      </c>
      <c r="B439" s="1">
        <v>45510</v>
      </c>
      <c r="C439" t="s">
        <v>40</v>
      </c>
      <c r="D439" t="s">
        <v>41</v>
      </c>
      <c r="E439" t="s">
        <v>34</v>
      </c>
      <c r="F439" t="s">
        <v>35</v>
      </c>
      <c r="G439" t="s">
        <v>43</v>
      </c>
      <c r="H439">
        <v>12</v>
      </c>
      <c r="I439">
        <v>49705.85</v>
      </c>
      <c r="J439" s="2">
        <v>0.2</v>
      </c>
      <c r="K439" t="s">
        <v>25</v>
      </c>
      <c r="L439">
        <v>477176.16</v>
      </c>
      <c r="M439" t="str">
        <f>TEXT(Table1[[#This Row],[OrderDate]], "mmm")</f>
        <v>Aug</v>
      </c>
      <c r="N439" t="str">
        <f>IF(Table1[[#This Row],[TotalSales]]&gt;50000,"High",IF(L439&gt;20000,"Medium","Low"))</f>
        <v>High</v>
      </c>
      <c r="O439">
        <f>Table1[[#This Row],[TotalSales]]/Table1[[#This Row],[Quantity]]</f>
        <v>39764.68</v>
      </c>
    </row>
    <row r="440" spans="1:15" x14ac:dyDescent="0.35">
      <c r="A440" t="s">
        <v>498</v>
      </c>
      <c r="B440" s="1">
        <v>45427</v>
      </c>
      <c r="C440" t="s">
        <v>46</v>
      </c>
      <c r="D440" t="s">
        <v>79</v>
      </c>
      <c r="E440" t="s">
        <v>34</v>
      </c>
      <c r="F440" t="s">
        <v>48</v>
      </c>
      <c r="G440" t="s">
        <v>17</v>
      </c>
      <c r="H440">
        <v>3</v>
      </c>
      <c r="I440">
        <v>24343.5</v>
      </c>
      <c r="J440" s="2">
        <v>0.05</v>
      </c>
      <c r="K440" t="s">
        <v>18</v>
      </c>
      <c r="L440">
        <v>69378.97</v>
      </c>
      <c r="M440" t="str">
        <f>TEXT(Table1[[#This Row],[OrderDate]], "mmm")</f>
        <v>May</v>
      </c>
      <c r="N440" t="str">
        <f>IF(Table1[[#This Row],[TotalSales]]&gt;50000,"High",IF(L440&gt;20000,"Medium","Low"))</f>
        <v>High</v>
      </c>
      <c r="O440">
        <f>Table1[[#This Row],[TotalSales]]/Table1[[#This Row],[Quantity]]</f>
        <v>23126.323333333334</v>
      </c>
    </row>
    <row r="441" spans="1:15" x14ac:dyDescent="0.35">
      <c r="A441" t="s">
        <v>499</v>
      </c>
      <c r="B441" s="1">
        <v>45424</v>
      </c>
      <c r="C441" t="s">
        <v>46</v>
      </c>
      <c r="D441" t="s">
        <v>79</v>
      </c>
      <c r="E441" t="s">
        <v>34</v>
      </c>
      <c r="F441" t="s">
        <v>61</v>
      </c>
      <c r="G441" t="s">
        <v>24</v>
      </c>
      <c r="H441">
        <v>2</v>
      </c>
      <c r="I441">
        <v>2110.38</v>
      </c>
      <c r="J441" s="2">
        <v>0</v>
      </c>
      <c r="K441" t="s">
        <v>31</v>
      </c>
      <c r="L441">
        <v>4220.76</v>
      </c>
      <c r="M441" t="str">
        <f>TEXT(Table1[[#This Row],[OrderDate]], "mmm")</f>
        <v>May</v>
      </c>
      <c r="N441" t="str">
        <f>IF(Table1[[#This Row],[TotalSales]]&gt;50000,"High",IF(L441&gt;20000,"Medium","Low"))</f>
        <v>Low</v>
      </c>
      <c r="O441">
        <f>Table1[[#This Row],[TotalSales]]/Table1[[#This Row],[Quantity]]</f>
        <v>2110.38</v>
      </c>
    </row>
    <row r="442" spans="1:15" x14ac:dyDescent="0.35">
      <c r="A442" t="s">
        <v>500</v>
      </c>
      <c r="B442" s="1">
        <v>45650</v>
      </c>
      <c r="C442" t="s">
        <v>13</v>
      </c>
      <c r="D442" t="s">
        <v>14</v>
      </c>
      <c r="E442" t="s">
        <v>15</v>
      </c>
      <c r="F442" t="s">
        <v>38</v>
      </c>
      <c r="G442" t="s">
        <v>66</v>
      </c>
      <c r="H442">
        <v>6</v>
      </c>
      <c r="I442">
        <v>49773.04</v>
      </c>
      <c r="J442" s="2">
        <v>0.1</v>
      </c>
      <c r="K442" t="s">
        <v>31</v>
      </c>
      <c r="L442">
        <v>268774.42</v>
      </c>
      <c r="M442" t="str">
        <f>TEXT(Table1[[#This Row],[OrderDate]], "mmm")</f>
        <v>Dec</v>
      </c>
      <c r="N442" t="str">
        <f>IF(Table1[[#This Row],[TotalSales]]&gt;50000,"High",IF(L442&gt;20000,"Medium","Low"))</f>
        <v>High</v>
      </c>
      <c r="O442">
        <f>Table1[[#This Row],[TotalSales]]/Table1[[#This Row],[Quantity]]</f>
        <v>44795.736666666664</v>
      </c>
    </row>
    <row r="443" spans="1:15" x14ac:dyDescent="0.35">
      <c r="A443" t="s">
        <v>501</v>
      </c>
      <c r="B443" s="1">
        <v>45538</v>
      </c>
      <c r="C443" t="s">
        <v>40</v>
      </c>
      <c r="D443" t="s">
        <v>51</v>
      </c>
      <c r="E443" t="s">
        <v>22</v>
      </c>
      <c r="F443" t="s">
        <v>23</v>
      </c>
      <c r="G443" t="s">
        <v>17</v>
      </c>
      <c r="H443">
        <v>2</v>
      </c>
      <c r="I443">
        <v>31284.959999999999</v>
      </c>
      <c r="J443" s="2">
        <v>0</v>
      </c>
      <c r="K443" t="s">
        <v>44</v>
      </c>
      <c r="L443">
        <v>62569.919999999998</v>
      </c>
      <c r="M443" t="str">
        <f>TEXT(Table1[[#This Row],[OrderDate]], "mmm")</f>
        <v>Sep</v>
      </c>
      <c r="N443" t="str">
        <f>IF(Table1[[#This Row],[TotalSales]]&gt;50000,"High",IF(L443&gt;20000,"Medium","Low"))</f>
        <v>High</v>
      </c>
      <c r="O443">
        <f>Table1[[#This Row],[TotalSales]]/Table1[[#This Row],[Quantity]]</f>
        <v>31284.959999999999</v>
      </c>
    </row>
    <row r="444" spans="1:15" x14ac:dyDescent="0.35">
      <c r="A444" t="s">
        <v>502</v>
      </c>
      <c r="B444" s="1">
        <v>45623</v>
      </c>
      <c r="C444" t="s">
        <v>40</v>
      </c>
      <c r="D444" t="s">
        <v>41</v>
      </c>
      <c r="E444" t="s">
        <v>28</v>
      </c>
      <c r="F444" t="s">
        <v>76</v>
      </c>
      <c r="G444" t="s">
        <v>17</v>
      </c>
      <c r="H444">
        <v>4</v>
      </c>
      <c r="I444">
        <v>9878.68</v>
      </c>
      <c r="J444" s="2">
        <v>0</v>
      </c>
      <c r="K444" t="s">
        <v>44</v>
      </c>
      <c r="L444">
        <v>39514.720000000001</v>
      </c>
      <c r="M444" t="str">
        <f>TEXT(Table1[[#This Row],[OrderDate]], "mmm")</f>
        <v>Nov</v>
      </c>
      <c r="N444" t="str">
        <f>IF(Table1[[#This Row],[TotalSales]]&gt;50000,"High",IF(L444&gt;20000,"Medium","Low"))</f>
        <v>Medium</v>
      </c>
      <c r="O444">
        <f>Table1[[#This Row],[TotalSales]]/Table1[[#This Row],[Quantity]]</f>
        <v>9878.68</v>
      </c>
    </row>
    <row r="445" spans="1:15" x14ac:dyDescent="0.35">
      <c r="A445" t="s">
        <v>503</v>
      </c>
      <c r="B445" s="1">
        <v>45389</v>
      </c>
      <c r="C445" t="s">
        <v>40</v>
      </c>
      <c r="D445" t="s">
        <v>51</v>
      </c>
      <c r="E445" t="s">
        <v>34</v>
      </c>
      <c r="F445" t="s">
        <v>35</v>
      </c>
      <c r="G445" t="s">
        <v>49</v>
      </c>
      <c r="H445">
        <v>3</v>
      </c>
      <c r="I445">
        <v>2156.27</v>
      </c>
      <c r="J445" s="2">
        <v>0</v>
      </c>
      <c r="K445" t="s">
        <v>25</v>
      </c>
      <c r="L445">
        <v>6468.81</v>
      </c>
      <c r="M445" t="str">
        <f>TEXT(Table1[[#This Row],[OrderDate]], "mmm")</f>
        <v>Apr</v>
      </c>
      <c r="N445" t="str">
        <f>IF(Table1[[#This Row],[TotalSales]]&gt;50000,"High",IF(L445&gt;20000,"Medium","Low"))</f>
        <v>Low</v>
      </c>
      <c r="O445">
        <f>Table1[[#This Row],[TotalSales]]/Table1[[#This Row],[Quantity]]</f>
        <v>2156.27</v>
      </c>
    </row>
    <row r="446" spans="1:15" x14ac:dyDescent="0.35">
      <c r="A446" t="s">
        <v>504</v>
      </c>
      <c r="B446" s="1">
        <v>45320</v>
      </c>
      <c r="C446" t="s">
        <v>46</v>
      </c>
      <c r="D446" t="s">
        <v>79</v>
      </c>
      <c r="E446" t="s">
        <v>34</v>
      </c>
      <c r="F446" t="s">
        <v>35</v>
      </c>
      <c r="G446" t="s">
        <v>24</v>
      </c>
      <c r="H446">
        <v>6</v>
      </c>
      <c r="I446">
        <v>43370.26</v>
      </c>
      <c r="J446" s="2">
        <v>0</v>
      </c>
      <c r="K446" t="s">
        <v>18</v>
      </c>
      <c r="L446">
        <v>260221.56</v>
      </c>
      <c r="M446" t="str">
        <f>TEXT(Table1[[#This Row],[OrderDate]], "mmm")</f>
        <v>Jan</v>
      </c>
      <c r="N446" t="str">
        <f>IF(Table1[[#This Row],[TotalSales]]&gt;50000,"High",IF(L446&gt;20000,"Medium","Low"))</f>
        <v>High</v>
      </c>
      <c r="O446">
        <f>Table1[[#This Row],[TotalSales]]/Table1[[#This Row],[Quantity]]</f>
        <v>43370.26</v>
      </c>
    </row>
    <row r="447" spans="1:15" x14ac:dyDescent="0.35">
      <c r="A447" t="s">
        <v>505</v>
      </c>
      <c r="B447" s="1">
        <v>45626</v>
      </c>
      <c r="C447" t="s">
        <v>20</v>
      </c>
      <c r="D447" t="s">
        <v>97</v>
      </c>
      <c r="E447" t="s">
        <v>15</v>
      </c>
      <c r="F447" t="s">
        <v>16</v>
      </c>
      <c r="G447" t="s">
        <v>43</v>
      </c>
      <c r="H447">
        <v>1</v>
      </c>
      <c r="I447">
        <v>26022.84</v>
      </c>
      <c r="J447" s="2">
        <v>0.1</v>
      </c>
      <c r="K447" t="s">
        <v>44</v>
      </c>
      <c r="L447">
        <v>23420.560000000001</v>
      </c>
      <c r="M447" t="str">
        <f>TEXT(Table1[[#This Row],[OrderDate]], "mmm")</f>
        <v>Nov</v>
      </c>
      <c r="N447" t="str">
        <f>IF(Table1[[#This Row],[TotalSales]]&gt;50000,"High",IF(L447&gt;20000,"Medium","Low"))</f>
        <v>Medium</v>
      </c>
      <c r="O447">
        <f>Table1[[#This Row],[TotalSales]]/Table1[[#This Row],[Quantity]]</f>
        <v>23420.560000000001</v>
      </c>
    </row>
    <row r="448" spans="1:15" x14ac:dyDescent="0.35">
      <c r="A448" t="s">
        <v>506</v>
      </c>
      <c r="B448" s="1">
        <v>45324</v>
      </c>
      <c r="C448" t="s">
        <v>20</v>
      </c>
      <c r="D448" t="s">
        <v>21</v>
      </c>
      <c r="E448" t="s">
        <v>15</v>
      </c>
      <c r="F448" t="s">
        <v>38</v>
      </c>
      <c r="G448" t="s">
        <v>66</v>
      </c>
      <c r="H448">
        <v>14</v>
      </c>
      <c r="I448">
        <v>44997.38</v>
      </c>
      <c r="J448" s="2">
        <v>0</v>
      </c>
      <c r="K448" t="s">
        <v>44</v>
      </c>
      <c r="L448">
        <v>629963.31999999995</v>
      </c>
      <c r="M448" t="str">
        <f>TEXT(Table1[[#This Row],[OrderDate]], "mmm")</f>
        <v>Feb</v>
      </c>
      <c r="N448" t="str">
        <f>IF(Table1[[#This Row],[TotalSales]]&gt;50000,"High",IF(L448&gt;20000,"Medium","Low"))</f>
        <v>High</v>
      </c>
      <c r="O448">
        <f>Table1[[#This Row],[TotalSales]]/Table1[[#This Row],[Quantity]]</f>
        <v>44997.38</v>
      </c>
    </row>
    <row r="449" spans="1:15" x14ac:dyDescent="0.35">
      <c r="A449" t="s">
        <v>507</v>
      </c>
      <c r="B449" s="1">
        <v>45586</v>
      </c>
      <c r="C449" t="s">
        <v>46</v>
      </c>
      <c r="D449" t="s">
        <v>71</v>
      </c>
      <c r="E449" t="s">
        <v>34</v>
      </c>
      <c r="F449" t="s">
        <v>48</v>
      </c>
      <c r="G449" t="s">
        <v>17</v>
      </c>
      <c r="H449">
        <v>9</v>
      </c>
      <c r="I449">
        <v>7725.65</v>
      </c>
      <c r="J449" s="2">
        <v>0.2</v>
      </c>
      <c r="K449" t="s">
        <v>31</v>
      </c>
      <c r="L449">
        <v>55624.68</v>
      </c>
      <c r="M449" t="str">
        <f>TEXT(Table1[[#This Row],[OrderDate]], "mmm")</f>
        <v>Oct</v>
      </c>
      <c r="N449" t="str">
        <f>IF(Table1[[#This Row],[TotalSales]]&gt;50000,"High",IF(L449&gt;20000,"Medium","Low"))</f>
        <v>High</v>
      </c>
      <c r="O449">
        <f>Table1[[#This Row],[TotalSales]]/Table1[[#This Row],[Quantity]]</f>
        <v>6180.52</v>
      </c>
    </row>
    <row r="450" spans="1:15" x14ac:dyDescent="0.35">
      <c r="A450" t="s">
        <v>508</v>
      </c>
      <c r="B450" s="1">
        <v>45648</v>
      </c>
      <c r="C450" t="s">
        <v>40</v>
      </c>
      <c r="D450" t="s">
        <v>55</v>
      </c>
      <c r="E450" t="s">
        <v>28</v>
      </c>
      <c r="F450" t="s">
        <v>125</v>
      </c>
      <c r="G450" t="s">
        <v>66</v>
      </c>
      <c r="H450">
        <v>6</v>
      </c>
      <c r="I450">
        <v>30526.74</v>
      </c>
      <c r="J450" s="2">
        <v>0.05</v>
      </c>
      <c r="K450" t="s">
        <v>18</v>
      </c>
      <c r="L450">
        <v>174002.42</v>
      </c>
      <c r="M450" t="str">
        <f>TEXT(Table1[[#This Row],[OrderDate]], "mmm")</f>
        <v>Dec</v>
      </c>
      <c r="N450" t="str">
        <f>IF(Table1[[#This Row],[TotalSales]]&gt;50000,"High",IF(L450&gt;20000,"Medium","Low"))</f>
        <v>High</v>
      </c>
      <c r="O450">
        <f>Table1[[#This Row],[TotalSales]]/Table1[[#This Row],[Quantity]]</f>
        <v>29000.403333333335</v>
      </c>
    </row>
    <row r="451" spans="1:15" x14ac:dyDescent="0.35">
      <c r="A451" t="s">
        <v>509</v>
      </c>
      <c r="B451" s="1">
        <v>45295</v>
      </c>
      <c r="C451" t="s">
        <v>46</v>
      </c>
      <c r="D451" t="s">
        <v>47</v>
      </c>
      <c r="E451" t="s">
        <v>15</v>
      </c>
      <c r="F451" t="s">
        <v>38</v>
      </c>
      <c r="G451" t="s">
        <v>30</v>
      </c>
      <c r="H451">
        <v>3</v>
      </c>
      <c r="I451">
        <v>50952.31</v>
      </c>
      <c r="J451" s="2">
        <v>0.15</v>
      </c>
      <c r="K451" t="s">
        <v>18</v>
      </c>
      <c r="L451">
        <v>129928.39</v>
      </c>
      <c r="M451" t="str">
        <f>TEXT(Table1[[#This Row],[OrderDate]], "mmm")</f>
        <v>Jan</v>
      </c>
      <c r="N451" t="str">
        <f>IF(Table1[[#This Row],[TotalSales]]&gt;50000,"High",IF(L451&gt;20000,"Medium","Low"))</f>
        <v>High</v>
      </c>
      <c r="O451">
        <f>Table1[[#This Row],[TotalSales]]/Table1[[#This Row],[Quantity]]</f>
        <v>43309.463333333333</v>
      </c>
    </row>
    <row r="452" spans="1:15" x14ac:dyDescent="0.35">
      <c r="A452" t="s">
        <v>510</v>
      </c>
      <c r="B452" s="1">
        <v>45522</v>
      </c>
      <c r="C452" t="s">
        <v>13</v>
      </c>
      <c r="D452" t="s">
        <v>33</v>
      </c>
      <c r="E452" t="s">
        <v>22</v>
      </c>
      <c r="F452" t="s">
        <v>42</v>
      </c>
      <c r="G452" t="s">
        <v>17</v>
      </c>
      <c r="H452">
        <v>7</v>
      </c>
      <c r="I452">
        <v>13311.11</v>
      </c>
      <c r="J452" s="2">
        <v>0</v>
      </c>
      <c r="K452" t="s">
        <v>44</v>
      </c>
      <c r="L452">
        <v>93177.77</v>
      </c>
      <c r="M452" t="str">
        <f>TEXT(Table1[[#This Row],[OrderDate]], "mmm")</f>
        <v>Aug</v>
      </c>
      <c r="N452" t="str">
        <f>IF(Table1[[#This Row],[TotalSales]]&gt;50000,"High",IF(L452&gt;20000,"Medium","Low"))</f>
        <v>High</v>
      </c>
      <c r="O452">
        <f>Table1[[#This Row],[TotalSales]]/Table1[[#This Row],[Quantity]]</f>
        <v>13311.11</v>
      </c>
    </row>
    <row r="453" spans="1:15" x14ac:dyDescent="0.35">
      <c r="A453" t="s">
        <v>511</v>
      </c>
      <c r="B453" s="1">
        <v>45412</v>
      </c>
      <c r="C453" t="s">
        <v>46</v>
      </c>
      <c r="D453" t="s">
        <v>71</v>
      </c>
      <c r="E453" t="s">
        <v>28</v>
      </c>
      <c r="F453" t="s">
        <v>104</v>
      </c>
      <c r="G453" t="s">
        <v>69</v>
      </c>
      <c r="H453">
        <v>4</v>
      </c>
      <c r="I453">
        <v>6639.43</v>
      </c>
      <c r="J453" s="2">
        <v>0.1</v>
      </c>
      <c r="K453" t="s">
        <v>25</v>
      </c>
      <c r="L453">
        <v>23901.95</v>
      </c>
      <c r="M453" t="str">
        <f>TEXT(Table1[[#This Row],[OrderDate]], "mmm")</f>
        <v>Apr</v>
      </c>
      <c r="N453" t="str">
        <f>IF(Table1[[#This Row],[TotalSales]]&gt;50000,"High",IF(L453&gt;20000,"Medium","Low"))</f>
        <v>Medium</v>
      </c>
      <c r="O453">
        <f>Table1[[#This Row],[TotalSales]]/Table1[[#This Row],[Quantity]]</f>
        <v>5975.4875000000002</v>
      </c>
    </row>
    <row r="454" spans="1:15" x14ac:dyDescent="0.35">
      <c r="A454" t="s">
        <v>512</v>
      </c>
      <c r="B454" s="1">
        <v>45349</v>
      </c>
      <c r="C454" t="s">
        <v>46</v>
      </c>
      <c r="D454" t="s">
        <v>47</v>
      </c>
      <c r="E454" t="s">
        <v>22</v>
      </c>
      <c r="F454" t="s">
        <v>52</v>
      </c>
      <c r="G454" t="s">
        <v>43</v>
      </c>
      <c r="H454">
        <v>13</v>
      </c>
      <c r="I454">
        <v>8377.11</v>
      </c>
      <c r="J454" s="2">
        <v>0.2</v>
      </c>
      <c r="K454" t="s">
        <v>31</v>
      </c>
      <c r="L454">
        <v>87121.94</v>
      </c>
      <c r="M454" t="str">
        <f>TEXT(Table1[[#This Row],[OrderDate]], "mmm")</f>
        <v>Feb</v>
      </c>
      <c r="N454" t="str">
        <f>IF(Table1[[#This Row],[TotalSales]]&gt;50000,"High",IF(L454&gt;20000,"Medium","Low"))</f>
        <v>High</v>
      </c>
      <c r="O454">
        <f>Table1[[#This Row],[TotalSales]]/Table1[[#This Row],[Quantity]]</f>
        <v>6701.6876923076925</v>
      </c>
    </row>
    <row r="455" spans="1:15" x14ac:dyDescent="0.35">
      <c r="A455" t="s">
        <v>513</v>
      </c>
      <c r="B455" s="1">
        <v>45420</v>
      </c>
      <c r="C455" t="s">
        <v>20</v>
      </c>
      <c r="D455" t="s">
        <v>97</v>
      </c>
      <c r="E455" t="s">
        <v>28</v>
      </c>
      <c r="F455" t="s">
        <v>29</v>
      </c>
      <c r="G455" t="s">
        <v>24</v>
      </c>
      <c r="H455">
        <v>6</v>
      </c>
      <c r="I455">
        <v>34001.699999999997</v>
      </c>
      <c r="J455" s="2">
        <v>0.2</v>
      </c>
      <c r="K455" t="s">
        <v>31</v>
      </c>
      <c r="L455">
        <v>163208.16</v>
      </c>
      <c r="M455" t="str">
        <f>TEXT(Table1[[#This Row],[OrderDate]], "mmm")</f>
        <v>May</v>
      </c>
      <c r="N455" t="str">
        <f>IF(Table1[[#This Row],[TotalSales]]&gt;50000,"High",IF(L455&gt;20000,"Medium","Low"))</f>
        <v>High</v>
      </c>
      <c r="O455">
        <f>Table1[[#This Row],[TotalSales]]/Table1[[#This Row],[Quantity]]</f>
        <v>27201.360000000001</v>
      </c>
    </row>
    <row r="456" spans="1:15" x14ac:dyDescent="0.35">
      <c r="A456" t="s">
        <v>514</v>
      </c>
      <c r="B456" s="1">
        <v>45519</v>
      </c>
      <c r="C456" t="s">
        <v>46</v>
      </c>
      <c r="D456" t="s">
        <v>47</v>
      </c>
      <c r="E456" t="s">
        <v>34</v>
      </c>
      <c r="F456" t="s">
        <v>35</v>
      </c>
      <c r="G456" t="s">
        <v>83</v>
      </c>
      <c r="H456">
        <v>10</v>
      </c>
      <c r="I456">
        <v>31970.95</v>
      </c>
      <c r="J456" s="2">
        <v>0.05</v>
      </c>
      <c r="K456" t="s">
        <v>18</v>
      </c>
      <c r="L456">
        <v>303724.02</v>
      </c>
      <c r="M456" t="str">
        <f>TEXT(Table1[[#This Row],[OrderDate]], "mmm")</f>
        <v>Aug</v>
      </c>
      <c r="N456" t="str">
        <f>IF(Table1[[#This Row],[TotalSales]]&gt;50000,"High",IF(L456&gt;20000,"Medium","Low"))</f>
        <v>High</v>
      </c>
      <c r="O456">
        <f>Table1[[#This Row],[TotalSales]]/Table1[[#This Row],[Quantity]]</f>
        <v>30372.402000000002</v>
      </c>
    </row>
    <row r="457" spans="1:15" x14ac:dyDescent="0.35">
      <c r="A457" t="s">
        <v>515</v>
      </c>
      <c r="B457" s="1">
        <v>45484</v>
      </c>
      <c r="C457" t="s">
        <v>40</v>
      </c>
      <c r="D457" t="s">
        <v>55</v>
      </c>
      <c r="E457" t="s">
        <v>15</v>
      </c>
      <c r="F457" t="s">
        <v>59</v>
      </c>
      <c r="G457" t="s">
        <v>30</v>
      </c>
      <c r="H457">
        <v>15</v>
      </c>
      <c r="I457">
        <v>12292.32</v>
      </c>
      <c r="J457" s="2">
        <v>0.05</v>
      </c>
      <c r="K457" t="s">
        <v>18</v>
      </c>
      <c r="L457">
        <v>175165.56</v>
      </c>
      <c r="M457" t="str">
        <f>TEXT(Table1[[#This Row],[OrderDate]], "mmm")</f>
        <v>Jul</v>
      </c>
      <c r="N457" t="str">
        <f>IF(Table1[[#This Row],[TotalSales]]&gt;50000,"High",IF(L457&gt;20000,"Medium","Low"))</f>
        <v>High</v>
      </c>
      <c r="O457">
        <f>Table1[[#This Row],[TotalSales]]/Table1[[#This Row],[Quantity]]</f>
        <v>11677.704</v>
      </c>
    </row>
    <row r="458" spans="1:15" x14ac:dyDescent="0.35">
      <c r="A458" t="s">
        <v>516</v>
      </c>
      <c r="B458" s="1">
        <v>45391</v>
      </c>
      <c r="C458" t="s">
        <v>20</v>
      </c>
      <c r="D458" t="s">
        <v>97</v>
      </c>
      <c r="E458" t="s">
        <v>34</v>
      </c>
      <c r="F458" t="s">
        <v>48</v>
      </c>
      <c r="G458" t="s">
        <v>24</v>
      </c>
      <c r="H458">
        <v>11</v>
      </c>
      <c r="I458">
        <v>19850.740000000002</v>
      </c>
      <c r="J458" s="2">
        <v>0</v>
      </c>
      <c r="K458" t="s">
        <v>31</v>
      </c>
      <c r="L458">
        <v>218358.14</v>
      </c>
      <c r="M458" t="str">
        <f>TEXT(Table1[[#This Row],[OrderDate]], "mmm")</f>
        <v>Apr</v>
      </c>
      <c r="N458" t="str">
        <f>IF(Table1[[#This Row],[TotalSales]]&gt;50000,"High",IF(L458&gt;20000,"Medium","Low"))</f>
        <v>High</v>
      </c>
      <c r="O458">
        <f>Table1[[#This Row],[TotalSales]]/Table1[[#This Row],[Quantity]]</f>
        <v>19850.740000000002</v>
      </c>
    </row>
    <row r="459" spans="1:15" x14ac:dyDescent="0.35">
      <c r="A459" t="s">
        <v>517</v>
      </c>
      <c r="B459" s="1">
        <v>45467</v>
      </c>
      <c r="C459" t="s">
        <v>40</v>
      </c>
      <c r="D459" t="s">
        <v>55</v>
      </c>
      <c r="E459" t="s">
        <v>34</v>
      </c>
      <c r="F459" t="s">
        <v>88</v>
      </c>
      <c r="G459" t="s">
        <v>69</v>
      </c>
      <c r="H459">
        <v>4</v>
      </c>
      <c r="I459">
        <v>48775.21</v>
      </c>
      <c r="J459" s="2">
        <v>0.1</v>
      </c>
      <c r="K459" t="s">
        <v>31</v>
      </c>
      <c r="L459">
        <v>175590.76</v>
      </c>
      <c r="M459" t="str">
        <f>TEXT(Table1[[#This Row],[OrderDate]], "mmm")</f>
        <v>Jun</v>
      </c>
      <c r="N459" t="str">
        <f>IF(Table1[[#This Row],[TotalSales]]&gt;50000,"High",IF(L459&gt;20000,"Medium","Low"))</f>
        <v>High</v>
      </c>
      <c r="O459">
        <f>Table1[[#This Row],[TotalSales]]/Table1[[#This Row],[Quantity]]</f>
        <v>43897.69</v>
      </c>
    </row>
    <row r="460" spans="1:15" x14ac:dyDescent="0.35">
      <c r="A460" t="s">
        <v>518</v>
      </c>
      <c r="B460" s="1">
        <v>45534</v>
      </c>
      <c r="C460" t="s">
        <v>20</v>
      </c>
      <c r="D460" t="s">
        <v>21</v>
      </c>
      <c r="E460" t="s">
        <v>34</v>
      </c>
      <c r="F460" t="s">
        <v>88</v>
      </c>
      <c r="G460" t="s">
        <v>69</v>
      </c>
      <c r="H460">
        <v>14</v>
      </c>
      <c r="I460">
        <v>25559.41</v>
      </c>
      <c r="J460" s="2">
        <v>0</v>
      </c>
      <c r="K460" t="s">
        <v>18</v>
      </c>
      <c r="L460">
        <v>357831.74</v>
      </c>
      <c r="M460" t="str">
        <f>TEXT(Table1[[#This Row],[OrderDate]], "mmm")</f>
        <v>Aug</v>
      </c>
      <c r="N460" t="str">
        <f>IF(Table1[[#This Row],[TotalSales]]&gt;50000,"High",IF(L460&gt;20000,"Medium","Low"))</f>
        <v>High</v>
      </c>
      <c r="O460">
        <f>Table1[[#This Row],[TotalSales]]/Table1[[#This Row],[Quantity]]</f>
        <v>25559.41</v>
      </c>
    </row>
    <row r="461" spans="1:15" x14ac:dyDescent="0.35">
      <c r="A461" t="s">
        <v>519</v>
      </c>
      <c r="B461" s="1">
        <v>45532</v>
      </c>
      <c r="C461" t="s">
        <v>46</v>
      </c>
      <c r="D461" t="s">
        <v>47</v>
      </c>
      <c r="E461" t="s">
        <v>15</v>
      </c>
      <c r="F461" t="s">
        <v>38</v>
      </c>
      <c r="G461" t="s">
        <v>17</v>
      </c>
      <c r="H461">
        <v>12</v>
      </c>
      <c r="I461">
        <v>42319.63</v>
      </c>
      <c r="J461" s="2">
        <v>0</v>
      </c>
      <c r="K461" t="s">
        <v>25</v>
      </c>
      <c r="L461">
        <v>507835.56</v>
      </c>
      <c r="M461" t="str">
        <f>TEXT(Table1[[#This Row],[OrderDate]], "mmm")</f>
        <v>Aug</v>
      </c>
      <c r="N461" t="str">
        <f>IF(Table1[[#This Row],[TotalSales]]&gt;50000,"High",IF(L461&gt;20000,"Medium","Low"))</f>
        <v>High</v>
      </c>
      <c r="O461">
        <f>Table1[[#This Row],[TotalSales]]/Table1[[#This Row],[Quantity]]</f>
        <v>42319.63</v>
      </c>
    </row>
    <row r="462" spans="1:15" x14ac:dyDescent="0.35">
      <c r="A462" t="s">
        <v>520</v>
      </c>
      <c r="B462" s="1">
        <v>45298</v>
      </c>
      <c r="C462" t="s">
        <v>46</v>
      </c>
      <c r="D462" t="s">
        <v>71</v>
      </c>
      <c r="E462" t="s">
        <v>34</v>
      </c>
      <c r="F462" t="s">
        <v>61</v>
      </c>
      <c r="G462" t="s">
        <v>30</v>
      </c>
      <c r="H462">
        <v>12</v>
      </c>
      <c r="I462">
        <v>40301.89</v>
      </c>
      <c r="J462" s="2">
        <v>0</v>
      </c>
      <c r="K462" t="s">
        <v>44</v>
      </c>
      <c r="L462">
        <v>483622.68</v>
      </c>
      <c r="M462" t="str">
        <f>TEXT(Table1[[#This Row],[OrderDate]], "mmm")</f>
        <v>Jan</v>
      </c>
      <c r="N462" t="str">
        <f>IF(Table1[[#This Row],[TotalSales]]&gt;50000,"High",IF(L462&gt;20000,"Medium","Low"))</f>
        <v>High</v>
      </c>
      <c r="O462">
        <f>Table1[[#This Row],[TotalSales]]/Table1[[#This Row],[Quantity]]</f>
        <v>40301.89</v>
      </c>
    </row>
    <row r="463" spans="1:15" x14ac:dyDescent="0.35">
      <c r="A463" t="s">
        <v>521</v>
      </c>
      <c r="B463" s="1">
        <v>45529</v>
      </c>
      <c r="C463" t="s">
        <v>46</v>
      </c>
      <c r="D463" t="s">
        <v>79</v>
      </c>
      <c r="E463" t="s">
        <v>22</v>
      </c>
      <c r="F463" t="s">
        <v>82</v>
      </c>
      <c r="G463" t="s">
        <v>43</v>
      </c>
      <c r="H463">
        <v>13</v>
      </c>
      <c r="I463">
        <v>7796.59</v>
      </c>
      <c r="J463" s="2">
        <v>0.15</v>
      </c>
      <c r="K463" t="s">
        <v>31</v>
      </c>
      <c r="L463">
        <v>86152.320000000007</v>
      </c>
      <c r="M463" t="str">
        <f>TEXT(Table1[[#This Row],[OrderDate]], "mmm")</f>
        <v>Aug</v>
      </c>
      <c r="N463" t="str">
        <f>IF(Table1[[#This Row],[TotalSales]]&gt;50000,"High",IF(L463&gt;20000,"Medium","Low"))</f>
        <v>High</v>
      </c>
      <c r="O463">
        <f>Table1[[#This Row],[TotalSales]]/Table1[[#This Row],[Quantity]]</f>
        <v>6627.1015384615393</v>
      </c>
    </row>
    <row r="464" spans="1:15" x14ac:dyDescent="0.35">
      <c r="A464" t="s">
        <v>522</v>
      </c>
      <c r="B464" s="1">
        <v>45510</v>
      </c>
      <c r="C464" t="s">
        <v>46</v>
      </c>
      <c r="D464" t="s">
        <v>79</v>
      </c>
      <c r="E464" t="s">
        <v>34</v>
      </c>
      <c r="F464" t="s">
        <v>48</v>
      </c>
      <c r="G464" t="s">
        <v>83</v>
      </c>
      <c r="H464">
        <v>13</v>
      </c>
      <c r="I464">
        <v>14984.46</v>
      </c>
      <c r="J464" s="2">
        <v>0.1</v>
      </c>
      <c r="K464" t="s">
        <v>31</v>
      </c>
      <c r="L464">
        <v>175318.18</v>
      </c>
      <c r="M464" t="str">
        <f>TEXT(Table1[[#This Row],[OrderDate]], "mmm")</f>
        <v>Aug</v>
      </c>
      <c r="N464" t="str">
        <f>IF(Table1[[#This Row],[TotalSales]]&gt;50000,"High",IF(L464&gt;20000,"Medium","Low"))</f>
        <v>High</v>
      </c>
      <c r="O464">
        <f>Table1[[#This Row],[TotalSales]]/Table1[[#This Row],[Quantity]]</f>
        <v>13486.013846153846</v>
      </c>
    </row>
    <row r="465" spans="1:15" x14ac:dyDescent="0.35">
      <c r="A465" t="s">
        <v>523</v>
      </c>
      <c r="B465" s="1">
        <v>45479</v>
      </c>
      <c r="C465" t="s">
        <v>46</v>
      </c>
      <c r="D465" t="s">
        <v>79</v>
      </c>
      <c r="E465" t="s">
        <v>28</v>
      </c>
      <c r="F465" t="s">
        <v>76</v>
      </c>
      <c r="G465" t="s">
        <v>69</v>
      </c>
      <c r="H465">
        <v>8</v>
      </c>
      <c r="I465">
        <v>34128.51</v>
      </c>
      <c r="J465" s="2">
        <v>0</v>
      </c>
      <c r="K465" t="s">
        <v>18</v>
      </c>
      <c r="L465">
        <v>273028.08</v>
      </c>
      <c r="M465" t="str">
        <f>TEXT(Table1[[#This Row],[OrderDate]], "mmm")</f>
        <v>Jul</v>
      </c>
      <c r="N465" t="str">
        <f>IF(Table1[[#This Row],[TotalSales]]&gt;50000,"High",IF(L465&gt;20000,"Medium","Low"))</f>
        <v>High</v>
      </c>
      <c r="O465">
        <f>Table1[[#This Row],[TotalSales]]/Table1[[#This Row],[Quantity]]</f>
        <v>34128.51</v>
      </c>
    </row>
    <row r="466" spans="1:15" x14ac:dyDescent="0.35">
      <c r="A466" t="s">
        <v>524</v>
      </c>
      <c r="B466" s="1">
        <v>45536</v>
      </c>
      <c r="C466" t="s">
        <v>46</v>
      </c>
      <c r="D466" t="s">
        <v>71</v>
      </c>
      <c r="E466" t="s">
        <v>28</v>
      </c>
      <c r="F466" t="s">
        <v>125</v>
      </c>
      <c r="G466" t="s">
        <v>83</v>
      </c>
      <c r="H466">
        <v>12</v>
      </c>
      <c r="I466">
        <v>51665.31</v>
      </c>
      <c r="J466" s="2">
        <v>0.1</v>
      </c>
      <c r="K466" t="s">
        <v>44</v>
      </c>
      <c r="L466">
        <v>557985.35</v>
      </c>
      <c r="M466" t="str">
        <f>TEXT(Table1[[#This Row],[OrderDate]], "mmm")</f>
        <v>Sep</v>
      </c>
      <c r="N466" t="str">
        <f>IF(Table1[[#This Row],[TotalSales]]&gt;50000,"High",IF(L466&gt;20000,"Medium","Low"))</f>
        <v>High</v>
      </c>
      <c r="O466">
        <f>Table1[[#This Row],[TotalSales]]/Table1[[#This Row],[Quantity]]</f>
        <v>46498.779166666667</v>
      </c>
    </row>
    <row r="467" spans="1:15" x14ac:dyDescent="0.35">
      <c r="A467" t="s">
        <v>525</v>
      </c>
      <c r="B467" s="1">
        <v>45324</v>
      </c>
      <c r="C467" t="s">
        <v>13</v>
      </c>
      <c r="D467" t="s">
        <v>14</v>
      </c>
      <c r="E467" t="s">
        <v>28</v>
      </c>
      <c r="F467" t="s">
        <v>104</v>
      </c>
      <c r="G467" t="s">
        <v>49</v>
      </c>
      <c r="H467">
        <v>6</v>
      </c>
      <c r="I467">
        <v>19118.419999999998</v>
      </c>
      <c r="J467" s="2">
        <v>0.05</v>
      </c>
      <c r="K467" t="s">
        <v>25</v>
      </c>
      <c r="L467">
        <v>108974.99</v>
      </c>
      <c r="M467" t="str">
        <f>TEXT(Table1[[#This Row],[OrderDate]], "mmm")</f>
        <v>Feb</v>
      </c>
      <c r="N467" t="str">
        <f>IF(Table1[[#This Row],[TotalSales]]&gt;50000,"High",IF(L467&gt;20000,"Medium","Low"))</f>
        <v>High</v>
      </c>
      <c r="O467">
        <f>Table1[[#This Row],[TotalSales]]/Table1[[#This Row],[Quantity]]</f>
        <v>18162.498333333333</v>
      </c>
    </row>
    <row r="468" spans="1:15" x14ac:dyDescent="0.35">
      <c r="A468" t="s">
        <v>526</v>
      </c>
      <c r="B468" s="1">
        <v>45336</v>
      </c>
      <c r="C468" t="s">
        <v>20</v>
      </c>
      <c r="D468" t="s">
        <v>97</v>
      </c>
      <c r="E468" t="s">
        <v>28</v>
      </c>
      <c r="F468" t="s">
        <v>76</v>
      </c>
      <c r="G468" t="s">
        <v>24</v>
      </c>
      <c r="H468">
        <v>2</v>
      </c>
      <c r="I468">
        <v>21609.4</v>
      </c>
      <c r="J468" s="2">
        <v>0</v>
      </c>
      <c r="K468" t="s">
        <v>25</v>
      </c>
      <c r="L468">
        <v>43218.8</v>
      </c>
      <c r="M468" t="str">
        <f>TEXT(Table1[[#This Row],[OrderDate]], "mmm")</f>
        <v>Feb</v>
      </c>
      <c r="N468" t="str">
        <f>IF(Table1[[#This Row],[TotalSales]]&gt;50000,"High",IF(L468&gt;20000,"Medium","Low"))</f>
        <v>Medium</v>
      </c>
      <c r="O468">
        <f>Table1[[#This Row],[TotalSales]]/Table1[[#This Row],[Quantity]]</f>
        <v>21609.4</v>
      </c>
    </row>
    <row r="469" spans="1:15" x14ac:dyDescent="0.35">
      <c r="A469" t="s">
        <v>527</v>
      </c>
      <c r="B469" s="1">
        <v>45505</v>
      </c>
      <c r="C469" t="s">
        <v>46</v>
      </c>
      <c r="D469" t="s">
        <v>79</v>
      </c>
      <c r="E469" t="s">
        <v>22</v>
      </c>
      <c r="F469" t="s">
        <v>42</v>
      </c>
      <c r="G469" t="s">
        <v>69</v>
      </c>
      <c r="H469">
        <v>11</v>
      </c>
      <c r="I469">
        <v>29870.639999999999</v>
      </c>
      <c r="J469" s="2">
        <v>0</v>
      </c>
      <c r="K469" t="s">
        <v>31</v>
      </c>
      <c r="L469">
        <f>(Table1[[#This Row],[Quantity]]*Table1[[#This Row],[UnitPrice]])-(Table1[[#This Row],[Quantity]]*Table1[[#This Row],[UnitPrice]])*Table1[[#This Row],[Discount%]]</f>
        <v>328577.03999999998</v>
      </c>
      <c r="M469" t="str">
        <f>TEXT(Table1[[#This Row],[OrderDate]], "mmm")</f>
        <v>Aug</v>
      </c>
      <c r="N469" t="str">
        <f>IF(Table1[[#This Row],[TotalSales]]&gt;50000,"High",IF(L469&gt;20000,"Medium","Low"))</f>
        <v>High</v>
      </c>
      <c r="O469">
        <f>Table1[[#This Row],[TotalSales]]/Table1[[#This Row],[Quantity]]</f>
        <v>29870.639999999999</v>
      </c>
    </row>
    <row r="470" spans="1:15" x14ac:dyDescent="0.35">
      <c r="A470" t="s">
        <v>528</v>
      </c>
      <c r="B470" s="1">
        <v>45588</v>
      </c>
      <c r="C470" t="s">
        <v>13</v>
      </c>
      <c r="D470" t="s">
        <v>37</v>
      </c>
      <c r="E470" t="s">
        <v>15</v>
      </c>
      <c r="F470" t="s">
        <v>59</v>
      </c>
      <c r="G470" t="s">
        <v>30</v>
      </c>
      <c r="H470">
        <v>6</v>
      </c>
      <c r="I470">
        <v>36135.68</v>
      </c>
      <c r="J470" s="2">
        <v>0.2</v>
      </c>
      <c r="K470" t="s">
        <v>25</v>
      </c>
      <c r="L470">
        <v>173451.26</v>
      </c>
      <c r="M470" t="str">
        <f>TEXT(Table1[[#This Row],[OrderDate]], "mmm")</f>
        <v>Oct</v>
      </c>
      <c r="N470" t="str">
        <f>IF(Table1[[#This Row],[TotalSales]]&gt;50000,"High",IF(L470&gt;20000,"Medium","Low"))</f>
        <v>High</v>
      </c>
      <c r="O470">
        <f>Table1[[#This Row],[TotalSales]]/Table1[[#This Row],[Quantity]]</f>
        <v>28908.543333333335</v>
      </c>
    </row>
    <row r="471" spans="1:15" x14ac:dyDescent="0.35">
      <c r="A471" t="s">
        <v>529</v>
      </c>
      <c r="B471" s="1">
        <v>45425</v>
      </c>
      <c r="C471" t="s">
        <v>13</v>
      </c>
      <c r="D471" t="s">
        <v>14</v>
      </c>
      <c r="E471" t="s">
        <v>28</v>
      </c>
      <c r="F471" t="s">
        <v>125</v>
      </c>
      <c r="G471" t="s">
        <v>24</v>
      </c>
      <c r="H471">
        <v>4</v>
      </c>
      <c r="I471">
        <v>26736.52</v>
      </c>
      <c r="J471" s="2">
        <v>0</v>
      </c>
      <c r="K471" t="s">
        <v>18</v>
      </c>
      <c r="L471">
        <v>106946.08</v>
      </c>
      <c r="M471" t="str">
        <f>TEXT(Table1[[#This Row],[OrderDate]], "mmm")</f>
        <v>May</v>
      </c>
      <c r="N471" t="str">
        <f>IF(Table1[[#This Row],[TotalSales]]&gt;50000,"High",IF(L471&gt;20000,"Medium","Low"))</f>
        <v>High</v>
      </c>
      <c r="O471">
        <f>Table1[[#This Row],[TotalSales]]/Table1[[#This Row],[Quantity]]</f>
        <v>26736.52</v>
      </c>
    </row>
    <row r="472" spans="1:15" x14ac:dyDescent="0.35">
      <c r="A472" t="s">
        <v>530</v>
      </c>
      <c r="B472" s="1">
        <v>45646</v>
      </c>
      <c r="C472" t="s">
        <v>20</v>
      </c>
      <c r="D472" t="s">
        <v>21</v>
      </c>
      <c r="E472" t="s">
        <v>28</v>
      </c>
      <c r="F472" t="s">
        <v>125</v>
      </c>
      <c r="G472" t="s">
        <v>30</v>
      </c>
      <c r="H472">
        <v>15</v>
      </c>
      <c r="I472">
        <v>36716.31</v>
      </c>
      <c r="J472" s="2">
        <v>0</v>
      </c>
      <c r="K472" t="s">
        <v>44</v>
      </c>
      <c r="L472">
        <v>550744.65</v>
      </c>
      <c r="M472" t="str">
        <f>TEXT(Table1[[#This Row],[OrderDate]], "mmm")</f>
        <v>Dec</v>
      </c>
      <c r="N472" t="str">
        <f>IF(Table1[[#This Row],[TotalSales]]&gt;50000,"High",IF(L472&gt;20000,"Medium","Low"))</f>
        <v>High</v>
      </c>
      <c r="O472">
        <f>Table1[[#This Row],[TotalSales]]/Table1[[#This Row],[Quantity]]</f>
        <v>36716.310000000005</v>
      </c>
    </row>
    <row r="473" spans="1:15" x14ac:dyDescent="0.35">
      <c r="A473" t="s">
        <v>531</v>
      </c>
      <c r="B473" s="1">
        <v>45654</v>
      </c>
      <c r="C473" t="s">
        <v>20</v>
      </c>
      <c r="D473" t="s">
        <v>21</v>
      </c>
      <c r="E473" t="s">
        <v>28</v>
      </c>
      <c r="F473" t="s">
        <v>125</v>
      </c>
      <c r="G473" t="s">
        <v>17</v>
      </c>
      <c r="H473">
        <v>1</v>
      </c>
      <c r="I473">
        <v>36672.32</v>
      </c>
      <c r="J473" s="2">
        <v>0</v>
      </c>
      <c r="K473" t="s">
        <v>31</v>
      </c>
      <c r="L473">
        <v>36672.32</v>
      </c>
      <c r="M473" t="str">
        <f>TEXT(Table1[[#This Row],[OrderDate]], "mmm")</f>
        <v>Dec</v>
      </c>
      <c r="N473" t="str">
        <f>IF(Table1[[#This Row],[TotalSales]]&gt;50000,"High",IF(L473&gt;20000,"Medium","Low"))</f>
        <v>Medium</v>
      </c>
      <c r="O473">
        <f>Table1[[#This Row],[TotalSales]]/Table1[[#This Row],[Quantity]]</f>
        <v>36672.32</v>
      </c>
    </row>
    <row r="474" spans="1:15" x14ac:dyDescent="0.35">
      <c r="A474" t="s">
        <v>532</v>
      </c>
      <c r="B474" s="1">
        <v>45455</v>
      </c>
      <c r="C474" t="s">
        <v>20</v>
      </c>
      <c r="D474" t="s">
        <v>97</v>
      </c>
      <c r="E474" t="s">
        <v>34</v>
      </c>
      <c r="F474" t="s">
        <v>88</v>
      </c>
      <c r="G474" t="s">
        <v>49</v>
      </c>
      <c r="H474">
        <v>3</v>
      </c>
      <c r="I474">
        <v>435.33</v>
      </c>
      <c r="J474" s="2">
        <v>0.15</v>
      </c>
      <c r="K474" t="s">
        <v>18</v>
      </c>
      <c r="L474">
        <v>1110.0899999999999</v>
      </c>
      <c r="M474" t="str">
        <f>TEXT(Table1[[#This Row],[OrderDate]], "mmm")</f>
        <v>Jun</v>
      </c>
      <c r="N474" t="str">
        <f>IF(Table1[[#This Row],[TotalSales]]&gt;50000,"High",IF(L474&gt;20000,"Medium","Low"))</f>
        <v>Low</v>
      </c>
      <c r="O474">
        <f>Table1[[#This Row],[TotalSales]]/Table1[[#This Row],[Quantity]]</f>
        <v>370.03</v>
      </c>
    </row>
    <row r="475" spans="1:15" x14ac:dyDescent="0.35">
      <c r="A475" t="s">
        <v>533</v>
      </c>
      <c r="B475" s="1">
        <v>45537</v>
      </c>
      <c r="C475" t="s">
        <v>46</v>
      </c>
      <c r="D475" t="s">
        <v>71</v>
      </c>
      <c r="E475" t="s">
        <v>34</v>
      </c>
      <c r="F475" t="s">
        <v>48</v>
      </c>
      <c r="G475" t="s">
        <v>30</v>
      </c>
      <c r="H475">
        <v>15</v>
      </c>
      <c r="I475">
        <v>2396.4299999999998</v>
      </c>
      <c r="J475" s="2">
        <v>0.15</v>
      </c>
      <c r="K475" t="s">
        <v>44</v>
      </c>
      <c r="L475">
        <v>30554.48</v>
      </c>
      <c r="M475" t="str">
        <f>TEXT(Table1[[#This Row],[OrderDate]], "mmm")</f>
        <v>Sep</v>
      </c>
      <c r="N475" t="str">
        <f>IF(Table1[[#This Row],[TotalSales]]&gt;50000,"High",IF(L475&gt;20000,"Medium","Low"))</f>
        <v>Medium</v>
      </c>
      <c r="O475">
        <f>Table1[[#This Row],[TotalSales]]/Table1[[#This Row],[Quantity]]</f>
        <v>2036.9653333333333</v>
      </c>
    </row>
    <row r="476" spans="1:15" x14ac:dyDescent="0.35">
      <c r="A476" t="s">
        <v>534</v>
      </c>
      <c r="B476" s="1">
        <v>45620</v>
      </c>
      <c r="C476" t="s">
        <v>46</v>
      </c>
      <c r="D476" t="s">
        <v>71</v>
      </c>
      <c r="E476" t="s">
        <v>15</v>
      </c>
      <c r="F476" t="s">
        <v>56</v>
      </c>
      <c r="G476" t="s">
        <v>30</v>
      </c>
      <c r="H476">
        <v>4</v>
      </c>
      <c r="I476">
        <v>32172.04</v>
      </c>
      <c r="J476" s="2">
        <v>0</v>
      </c>
      <c r="K476" t="s">
        <v>31</v>
      </c>
      <c r="L476">
        <v>128688.16</v>
      </c>
      <c r="M476" t="str">
        <f>TEXT(Table1[[#This Row],[OrderDate]], "mmm")</f>
        <v>Nov</v>
      </c>
      <c r="N476" t="str">
        <f>IF(Table1[[#This Row],[TotalSales]]&gt;50000,"High",IF(L476&gt;20000,"Medium","Low"))</f>
        <v>High</v>
      </c>
      <c r="O476">
        <f>Table1[[#This Row],[TotalSales]]/Table1[[#This Row],[Quantity]]</f>
        <v>32172.04</v>
      </c>
    </row>
    <row r="477" spans="1:15" x14ac:dyDescent="0.35">
      <c r="A477" t="s">
        <v>535</v>
      </c>
      <c r="B477" s="1">
        <v>45600</v>
      </c>
      <c r="C477" t="s">
        <v>40</v>
      </c>
      <c r="D477" t="s">
        <v>41</v>
      </c>
      <c r="E477" t="s">
        <v>34</v>
      </c>
      <c r="F477" t="s">
        <v>61</v>
      </c>
      <c r="G477" t="s">
        <v>83</v>
      </c>
      <c r="H477">
        <v>10</v>
      </c>
      <c r="I477">
        <v>28233.26</v>
      </c>
      <c r="J477" s="2">
        <v>0</v>
      </c>
      <c r="K477" t="s">
        <v>25</v>
      </c>
      <c r="L477">
        <v>282332.59999999998</v>
      </c>
      <c r="M477" t="str">
        <f>TEXT(Table1[[#This Row],[OrderDate]], "mmm")</f>
        <v>Nov</v>
      </c>
      <c r="N477" t="str">
        <f>IF(Table1[[#This Row],[TotalSales]]&gt;50000,"High",IF(L477&gt;20000,"Medium","Low"))</f>
        <v>High</v>
      </c>
      <c r="O477">
        <f>Table1[[#This Row],[TotalSales]]/Table1[[#This Row],[Quantity]]</f>
        <v>28233.26</v>
      </c>
    </row>
    <row r="478" spans="1:15" x14ac:dyDescent="0.35">
      <c r="A478" t="s">
        <v>536</v>
      </c>
      <c r="B478" s="1">
        <v>45471</v>
      </c>
      <c r="C478" t="s">
        <v>13</v>
      </c>
      <c r="D478" t="s">
        <v>37</v>
      </c>
      <c r="E478" t="s">
        <v>28</v>
      </c>
      <c r="F478" t="s">
        <v>76</v>
      </c>
      <c r="G478" t="s">
        <v>66</v>
      </c>
      <c r="H478">
        <v>5</v>
      </c>
      <c r="I478">
        <v>53768.29</v>
      </c>
      <c r="J478" s="2">
        <v>0.2</v>
      </c>
      <c r="K478" t="s">
        <v>25</v>
      </c>
      <c r="L478">
        <v>215073.16</v>
      </c>
      <c r="M478" t="str">
        <f>TEXT(Table1[[#This Row],[OrderDate]], "mmm")</f>
        <v>Jun</v>
      </c>
      <c r="N478" t="str">
        <f>IF(Table1[[#This Row],[TotalSales]]&gt;50000,"High",IF(L478&gt;20000,"Medium","Low"))</f>
        <v>High</v>
      </c>
      <c r="O478">
        <f>Table1[[#This Row],[TotalSales]]/Table1[[#This Row],[Quantity]]</f>
        <v>43014.631999999998</v>
      </c>
    </row>
    <row r="479" spans="1:15" x14ac:dyDescent="0.35">
      <c r="A479" t="s">
        <v>537</v>
      </c>
      <c r="B479" s="1">
        <v>45504</v>
      </c>
      <c r="C479" t="s">
        <v>40</v>
      </c>
      <c r="D479" t="s">
        <v>51</v>
      </c>
      <c r="E479" t="s">
        <v>28</v>
      </c>
      <c r="F479" t="s">
        <v>125</v>
      </c>
      <c r="G479" t="s">
        <v>83</v>
      </c>
      <c r="H479">
        <v>3</v>
      </c>
      <c r="I479">
        <v>45986.03</v>
      </c>
      <c r="J479" s="2">
        <v>0.1</v>
      </c>
      <c r="K479" t="s">
        <v>31</v>
      </c>
      <c r="L479">
        <v>124162.28</v>
      </c>
      <c r="M479" t="str">
        <f>TEXT(Table1[[#This Row],[OrderDate]], "mmm")</f>
        <v>Jul</v>
      </c>
      <c r="N479" t="str">
        <f>IF(Table1[[#This Row],[TotalSales]]&gt;50000,"High",IF(L479&gt;20000,"Medium","Low"))</f>
        <v>High</v>
      </c>
      <c r="O479">
        <f>Table1[[#This Row],[TotalSales]]/Table1[[#This Row],[Quantity]]</f>
        <v>41387.426666666666</v>
      </c>
    </row>
    <row r="480" spans="1:15" x14ac:dyDescent="0.35">
      <c r="A480" t="s">
        <v>538</v>
      </c>
      <c r="B480" s="1">
        <v>45619</v>
      </c>
      <c r="C480" t="s">
        <v>46</v>
      </c>
      <c r="D480" t="s">
        <v>79</v>
      </c>
      <c r="E480" t="s">
        <v>34</v>
      </c>
      <c r="F480" t="s">
        <v>35</v>
      </c>
      <c r="G480" t="s">
        <v>24</v>
      </c>
      <c r="H480">
        <v>15</v>
      </c>
      <c r="I480">
        <v>15178.42</v>
      </c>
      <c r="J480" s="2">
        <v>0</v>
      </c>
      <c r="K480" t="s">
        <v>25</v>
      </c>
      <c r="L480">
        <v>227676.3</v>
      </c>
      <c r="M480" t="str">
        <f>TEXT(Table1[[#This Row],[OrderDate]], "mmm")</f>
        <v>Nov</v>
      </c>
      <c r="N480" t="str">
        <f>IF(Table1[[#This Row],[TotalSales]]&gt;50000,"High",IF(L480&gt;20000,"Medium","Low"))</f>
        <v>High</v>
      </c>
      <c r="O480">
        <f>Table1[[#This Row],[TotalSales]]/Table1[[#This Row],[Quantity]]</f>
        <v>15178.42</v>
      </c>
    </row>
    <row r="481" spans="1:15" x14ac:dyDescent="0.35">
      <c r="A481" t="s">
        <v>539</v>
      </c>
      <c r="B481" s="1">
        <v>45591</v>
      </c>
      <c r="C481" t="s">
        <v>46</v>
      </c>
      <c r="D481" t="s">
        <v>79</v>
      </c>
      <c r="E481" t="s">
        <v>28</v>
      </c>
      <c r="F481" t="s">
        <v>104</v>
      </c>
      <c r="G481" t="s">
        <v>30</v>
      </c>
      <c r="H481">
        <v>5</v>
      </c>
      <c r="I481">
        <v>27276.71</v>
      </c>
      <c r="J481" s="2">
        <v>0.15</v>
      </c>
      <c r="K481" t="s">
        <v>31</v>
      </c>
      <c r="L481">
        <v>115926.02</v>
      </c>
      <c r="M481" t="str">
        <f>TEXT(Table1[[#This Row],[OrderDate]], "mmm")</f>
        <v>Oct</v>
      </c>
      <c r="N481" t="str">
        <f>IF(Table1[[#This Row],[TotalSales]]&gt;50000,"High",IF(L481&gt;20000,"Medium","Low"))</f>
        <v>High</v>
      </c>
      <c r="O481">
        <f>Table1[[#This Row],[TotalSales]]/Table1[[#This Row],[Quantity]]</f>
        <v>23185.204000000002</v>
      </c>
    </row>
    <row r="482" spans="1:15" x14ac:dyDescent="0.35">
      <c r="A482" t="s">
        <v>540</v>
      </c>
      <c r="B482" s="1">
        <v>45644</v>
      </c>
      <c r="C482" t="s">
        <v>20</v>
      </c>
      <c r="D482" t="s">
        <v>97</v>
      </c>
      <c r="E482" t="s">
        <v>28</v>
      </c>
      <c r="F482" t="s">
        <v>104</v>
      </c>
      <c r="G482" t="s">
        <v>83</v>
      </c>
      <c r="H482">
        <v>11</v>
      </c>
      <c r="I482">
        <v>13612.31</v>
      </c>
      <c r="J482" s="2">
        <v>0</v>
      </c>
      <c r="K482" t="s">
        <v>25</v>
      </c>
      <c r="L482">
        <v>149735.41</v>
      </c>
      <c r="M482" t="str">
        <f>TEXT(Table1[[#This Row],[OrderDate]], "mmm")</f>
        <v>Dec</v>
      </c>
      <c r="N482" t="str">
        <f>IF(Table1[[#This Row],[TotalSales]]&gt;50000,"High",IF(L482&gt;20000,"Medium","Low"))</f>
        <v>High</v>
      </c>
      <c r="O482">
        <f>Table1[[#This Row],[TotalSales]]/Table1[[#This Row],[Quantity]]</f>
        <v>13612.31</v>
      </c>
    </row>
    <row r="483" spans="1:15" x14ac:dyDescent="0.35">
      <c r="A483" t="s">
        <v>541</v>
      </c>
      <c r="B483" s="1">
        <v>45353</v>
      </c>
      <c r="C483" t="s">
        <v>40</v>
      </c>
      <c r="D483" t="s">
        <v>51</v>
      </c>
      <c r="E483" t="s">
        <v>34</v>
      </c>
      <c r="F483" t="s">
        <v>48</v>
      </c>
      <c r="G483" t="s">
        <v>30</v>
      </c>
      <c r="H483">
        <v>6</v>
      </c>
      <c r="I483">
        <v>28286.42</v>
      </c>
      <c r="J483" s="2">
        <v>0.1</v>
      </c>
      <c r="K483" t="s">
        <v>18</v>
      </c>
      <c r="L483">
        <v>152746.67000000001</v>
      </c>
      <c r="M483" t="str">
        <f>TEXT(Table1[[#This Row],[OrderDate]], "mmm")</f>
        <v>Mar</v>
      </c>
      <c r="N483" t="str">
        <f>IF(Table1[[#This Row],[TotalSales]]&gt;50000,"High",IF(L483&gt;20000,"Medium","Low"))</f>
        <v>High</v>
      </c>
      <c r="O483">
        <f>Table1[[#This Row],[TotalSales]]/Table1[[#This Row],[Quantity]]</f>
        <v>25457.778333333335</v>
      </c>
    </row>
    <row r="484" spans="1:15" x14ac:dyDescent="0.35">
      <c r="A484" t="s">
        <v>542</v>
      </c>
      <c r="B484" s="1">
        <v>45476</v>
      </c>
      <c r="C484" t="s">
        <v>46</v>
      </c>
      <c r="D484" t="s">
        <v>79</v>
      </c>
      <c r="E484" t="s">
        <v>28</v>
      </c>
      <c r="F484" t="s">
        <v>125</v>
      </c>
      <c r="G484" t="s">
        <v>69</v>
      </c>
      <c r="H484">
        <v>7</v>
      </c>
      <c r="I484">
        <v>35066.339999999997</v>
      </c>
      <c r="J484" s="2">
        <v>0</v>
      </c>
      <c r="K484" t="s">
        <v>18</v>
      </c>
      <c r="L484">
        <v>245464.38</v>
      </c>
      <c r="M484" t="str">
        <f>TEXT(Table1[[#This Row],[OrderDate]], "mmm")</f>
        <v>Jul</v>
      </c>
      <c r="N484" t="str">
        <f>IF(Table1[[#This Row],[TotalSales]]&gt;50000,"High",IF(L484&gt;20000,"Medium","Low"))</f>
        <v>High</v>
      </c>
      <c r="O484">
        <f>Table1[[#This Row],[TotalSales]]/Table1[[#This Row],[Quantity]]</f>
        <v>35066.340000000004</v>
      </c>
    </row>
    <row r="485" spans="1:15" x14ac:dyDescent="0.35">
      <c r="A485" t="s">
        <v>543</v>
      </c>
      <c r="B485" s="1">
        <v>45642</v>
      </c>
      <c r="C485" t="s">
        <v>13</v>
      </c>
      <c r="D485" t="s">
        <v>37</v>
      </c>
      <c r="E485" t="s">
        <v>15</v>
      </c>
      <c r="F485" t="s">
        <v>59</v>
      </c>
      <c r="G485" t="s">
        <v>24</v>
      </c>
      <c r="H485">
        <v>13</v>
      </c>
      <c r="I485">
        <v>16698.759999999998</v>
      </c>
      <c r="J485" s="2">
        <v>0.15</v>
      </c>
      <c r="K485" t="s">
        <v>31</v>
      </c>
      <c r="L485">
        <v>184521.3</v>
      </c>
      <c r="M485" t="str">
        <f>TEXT(Table1[[#This Row],[OrderDate]], "mmm")</f>
        <v>Dec</v>
      </c>
      <c r="N485" t="str">
        <f>IF(Table1[[#This Row],[TotalSales]]&gt;50000,"High",IF(L485&gt;20000,"Medium","Low"))</f>
        <v>High</v>
      </c>
      <c r="O485">
        <f>Table1[[#This Row],[TotalSales]]/Table1[[#This Row],[Quantity]]</f>
        <v>14193.946153846153</v>
      </c>
    </row>
    <row r="486" spans="1:15" x14ac:dyDescent="0.35">
      <c r="A486" t="s">
        <v>544</v>
      </c>
      <c r="B486" s="1">
        <v>45502</v>
      </c>
      <c r="C486" t="s">
        <v>13</v>
      </c>
      <c r="D486" t="s">
        <v>37</v>
      </c>
      <c r="E486" t="s">
        <v>22</v>
      </c>
      <c r="F486" t="s">
        <v>52</v>
      </c>
      <c r="G486" t="s">
        <v>17</v>
      </c>
      <c r="H486">
        <v>6</v>
      </c>
      <c r="I486">
        <v>50665.72</v>
      </c>
      <c r="J486" s="2">
        <v>0</v>
      </c>
      <c r="K486" t="s">
        <v>25</v>
      </c>
      <c r="L486">
        <v>303994.32</v>
      </c>
      <c r="M486" t="str">
        <f>TEXT(Table1[[#This Row],[OrderDate]], "mmm")</f>
        <v>Jul</v>
      </c>
      <c r="N486" t="str">
        <f>IF(Table1[[#This Row],[TotalSales]]&gt;50000,"High",IF(L486&gt;20000,"Medium","Low"))</f>
        <v>High</v>
      </c>
      <c r="O486">
        <f>Table1[[#This Row],[TotalSales]]/Table1[[#This Row],[Quantity]]</f>
        <v>50665.72</v>
      </c>
    </row>
    <row r="487" spans="1:15" x14ac:dyDescent="0.35">
      <c r="A487" t="s">
        <v>545</v>
      </c>
      <c r="B487" s="1">
        <v>45300</v>
      </c>
      <c r="C487" t="s">
        <v>46</v>
      </c>
      <c r="D487" t="s">
        <v>47</v>
      </c>
      <c r="E487" t="s">
        <v>34</v>
      </c>
      <c r="F487" t="s">
        <v>35</v>
      </c>
      <c r="G487" t="s">
        <v>83</v>
      </c>
      <c r="H487">
        <v>8</v>
      </c>
      <c r="I487">
        <v>19281.900000000001</v>
      </c>
      <c r="J487" s="2">
        <v>0.15</v>
      </c>
      <c r="K487" t="s">
        <v>18</v>
      </c>
      <c r="L487">
        <v>131116.92000000001</v>
      </c>
      <c r="M487" t="str">
        <f>TEXT(Table1[[#This Row],[OrderDate]], "mmm")</f>
        <v>Jan</v>
      </c>
      <c r="N487" t="str">
        <f>IF(Table1[[#This Row],[TotalSales]]&gt;50000,"High",IF(L487&gt;20000,"Medium","Low"))</f>
        <v>High</v>
      </c>
      <c r="O487">
        <f>Table1[[#This Row],[TotalSales]]/Table1[[#This Row],[Quantity]]</f>
        <v>16389.615000000002</v>
      </c>
    </row>
    <row r="488" spans="1:15" x14ac:dyDescent="0.35">
      <c r="A488" t="s">
        <v>546</v>
      </c>
      <c r="B488" s="1">
        <v>45357</v>
      </c>
      <c r="C488" t="s">
        <v>46</v>
      </c>
      <c r="D488" t="s">
        <v>47</v>
      </c>
      <c r="E488" t="s">
        <v>28</v>
      </c>
      <c r="F488" t="s">
        <v>76</v>
      </c>
      <c r="G488" t="s">
        <v>17</v>
      </c>
      <c r="H488">
        <v>14</v>
      </c>
      <c r="I488">
        <v>38244.58</v>
      </c>
      <c r="J488" s="2">
        <v>0.15</v>
      </c>
      <c r="K488" t="s">
        <v>31</v>
      </c>
      <c r="L488">
        <v>455110.5</v>
      </c>
      <c r="M488" t="str">
        <f>TEXT(Table1[[#This Row],[OrderDate]], "mmm")</f>
        <v>Mar</v>
      </c>
      <c r="N488" t="str">
        <f>IF(Table1[[#This Row],[TotalSales]]&gt;50000,"High",IF(L488&gt;20000,"Medium","Low"))</f>
        <v>High</v>
      </c>
      <c r="O488">
        <f>Table1[[#This Row],[TotalSales]]/Table1[[#This Row],[Quantity]]</f>
        <v>32507.892857142859</v>
      </c>
    </row>
    <row r="489" spans="1:15" x14ac:dyDescent="0.35">
      <c r="A489" t="s">
        <v>547</v>
      </c>
      <c r="B489" s="1">
        <v>45392</v>
      </c>
      <c r="C489" t="s">
        <v>40</v>
      </c>
      <c r="D489" t="s">
        <v>55</v>
      </c>
      <c r="E489" t="s">
        <v>15</v>
      </c>
      <c r="F489" t="s">
        <v>38</v>
      </c>
      <c r="G489" t="s">
        <v>17</v>
      </c>
      <c r="H489">
        <v>2</v>
      </c>
      <c r="I489">
        <v>1997.04</v>
      </c>
      <c r="J489" s="2">
        <v>0.15</v>
      </c>
      <c r="K489" t="s">
        <v>44</v>
      </c>
      <c r="L489">
        <v>3394.97</v>
      </c>
      <c r="M489" t="str">
        <f>TEXT(Table1[[#This Row],[OrderDate]], "mmm")</f>
        <v>Apr</v>
      </c>
      <c r="N489" t="str">
        <f>IF(Table1[[#This Row],[TotalSales]]&gt;50000,"High",IF(L489&gt;20000,"Medium","Low"))</f>
        <v>Low</v>
      </c>
      <c r="O489">
        <f>Table1[[#This Row],[TotalSales]]/Table1[[#This Row],[Quantity]]</f>
        <v>1697.4849999999999</v>
      </c>
    </row>
    <row r="490" spans="1:15" x14ac:dyDescent="0.35">
      <c r="A490" t="s">
        <v>548</v>
      </c>
      <c r="B490" s="1">
        <v>45397</v>
      </c>
      <c r="C490" t="s">
        <v>46</v>
      </c>
      <c r="D490" t="s">
        <v>71</v>
      </c>
      <c r="E490" t="s">
        <v>15</v>
      </c>
      <c r="F490" t="s">
        <v>16</v>
      </c>
      <c r="G490" t="s">
        <v>49</v>
      </c>
      <c r="H490">
        <v>10</v>
      </c>
      <c r="I490">
        <v>49584.38</v>
      </c>
      <c r="J490" s="2">
        <v>0</v>
      </c>
      <c r="K490" t="s">
        <v>44</v>
      </c>
      <c r="L490">
        <v>495843.8</v>
      </c>
      <c r="M490" t="str">
        <f>TEXT(Table1[[#This Row],[OrderDate]], "mmm")</f>
        <v>Apr</v>
      </c>
      <c r="N490" t="str">
        <f>IF(Table1[[#This Row],[TotalSales]]&gt;50000,"High",IF(L490&gt;20000,"Medium","Low"))</f>
        <v>High</v>
      </c>
      <c r="O490">
        <f>Table1[[#This Row],[TotalSales]]/Table1[[#This Row],[Quantity]]</f>
        <v>49584.38</v>
      </c>
    </row>
    <row r="491" spans="1:15" x14ac:dyDescent="0.35">
      <c r="A491" t="s">
        <v>549</v>
      </c>
      <c r="B491" s="1">
        <v>45583</v>
      </c>
      <c r="C491" t="s">
        <v>20</v>
      </c>
      <c r="D491" t="s">
        <v>21</v>
      </c>
      <c r="E491" t="s">
        <v>28</v>
      </c>
      <c r="F491" t="s">
        <v>125</v>
      </c>
      <c r="G491" t="s">
        <v>24</v>
      </c>
      <c r="H491">
        <v>2</v>
      </c>
      <c r="I491">
        <v>5630.99</v>
      </c>
      <c r="J491" s="2">
        <v>0.1</v>
      </c>
      <c r="K491" t="s">
        <v>31</v>
      </c>
      <c r="L491">
        <v>10135.780000000001</v>
      </c>
      <c r="M491" t="str">
        <f>TEXT(Table1[[#This Row],[OrderDate]], "mmm")</f>
        <v>Oct</v>
      </c>
      <c r="N491" t="str">
        <f>IF(Table1[[#This Row],[TotalSales]]&gt;50000,"High",IF(L491&gt;20000,"Medium","Low"))</f>
        <v>Low</v>
      </c>
      <c r="O491">
        <f>Table1[[#This Row],[TotalSales]]/Table1[[#This Row],[Quantity]]</f>
        <v>5067.8900000000003</v>
      </c>
    </row>
    <row r="492" spans="1:15" x14ac:dyDescent="0.35">
      <c r="A492" t="s">
        <v>550</v>
      </c>
      <c r="B492" s="1">
        <v>45649</v>
      </c>
      <c r="C492" t="s">
        <v>40</v>
      </c>
      <c r="D492" t="s">
        <v>41</v>
      </c>
      <c r="E492" t="s">
        <v>15</v>
      </c>
      <c r="F492" t="s">
        <v>59</v>
      </c>
      <c r="G492" t="s">
        <v>69</v>
      </c>
      <c r="H492">
        <v>10</v>
      </c>
      <c r="I492">
        <v>10344.89</v>
      </c>
      <c r="J492" s="2">
        <v>0.15</v>
      </c>
      <c r="K492" t="s">
        <v>18</v>
      </c>
      <c r="L492">
        <v>87931.56</v>
      </c>
      <c r="M492" t="str">
        <f>TEXT(Table1[[#This Row],[OrderDate]], "mmm")</f>
        <v>Dec</v>
      </c>
      <c r="N492" t="str">
        <f>IF(Table1[[#This Row],[TotalSales]]&gt;50000,"High",IF(L492&gt;20000,"Medium","Low"))</f>
        <v>High</v>
      </c>
      <c r="O492">
        <f>Table1[[#This Row],[TotalSales]]/Table1[[#This Row],[Quantity]]</f>
        <v>8793.155999999999</v>
      </c>
    </row>
    <row r="493" spans="1:15" x14ac:dyDescent="0.35">
      <c r="A493" t="s">
        <v>551</v>
      </c>
      <c r="B493" s="1">
        <v>45530</v>
      </c>
      <c r="C493" t="s">
        <v>13</v>
      </c>
      <c r="D493" t="s">
        <v>14</v>
      </c>
      <c r="E493" t="s">
        <v>34</v>
      </c>
      <c r="F493" t="s">
        <v>35</v>
      </c>
      <c r="G493" t="s">
        <v>83</v>
      </c>
      <c r="H493">
        <v>2</v>
      </c>
      <c r="I493">
        <v>28681.07</v>
      </c>
      <c r="J493" s="2">
        <v>0.05</v>
      </c>
      <c r="K493" t="s">
        <v>25</v>
      </c>
      <c r="L493">
        <v>54494.03</v>
      </c>
      <c r="M493" t="str">
        <f>TEXT(Table1[[#This Row],[OrderDate]], "mmm")</f>
        <v>Aug</v>
      </c>
      <c r="N493" t="str">
        <f>IF(Table1[[#This Row],[TotalSales]]&gt;50000,"High",IF(L493&gt;20000,"Medium","Low"))</f>
        <v>High</v>
      </c>
      <c r="O493">
        <f>Table1[[#This Row],[TotalSales]]/Table1[[#This Row],[Quantity]]</f>
        <v>27247.014999999999</v>
      </c>
    </row>
    <row r="494" spans="1:15" x14ac:dyDescent="0.35">
      <c r="A494" t="s">
        <v>552</v>
      </c>
      <c r="B494" s="1">
        <v>45599</v>
      </c>
      <c r="C494" t="s">
        <v>13</v>
      </c>
      <c r="D494" t="s">
        <v>37</v>
      </c>
      <c r="E494" t="s">
        <v>15</v>
      </c>
      <c r="F494" t="s">
        <v>38</v>
      </c>
      <c r="G494" t="s">
        <v>69</v>
      </c>
      <c r="H494">
        <v>12</v>
      </c>
      <c r="I494">
        <v>17297.98</v>
      </c>
      <c r="J494" s="2">
        <v>0.2</v>
      </c>
      <c r="K494" t="s">
        <v>31</v>
      </c>
      <c r="L494">
        <v>166060.60999999999</v>
      </c>
      <c r="M494" t="str">
        <f>TEXT(Table1[[#This Row],[OrderDate]], "mmm")</f>
        <v>Nov</v>
      </c>
      <c r="N494" t="str">
        <f>IF(Table1[[#This Row],[TotalSales]]&gt;50000,"High",IF(L494&gt;20000,"Medium","Low"))</f>
        <v>High</v>
      </c>
      <c r="O494">
        <f>Table1[[#This Row],[TotalSales]]/Table1[[#This Row],[Quantity]]</f>
        <v>13838.384166666665</v>
      </c>
    </row>
    <row r="495" spans="1:15" x14ac:dyDescent="0.35">
      <c r="A495" t="s">
        <v>553</v>
      </c>
      <c r="B495" s="1">
        <v>45637</v>
      </c>
      <c r="C495" t="s">
        <v>20</v>
      </c>
      <c r="D495" t="s">
        <v>27</v>
      </c>
      <c r="E495" t="s">
        <v>34</v>
      </c>
      <c r="F495" t="s">
        <v>48</v>
      </c>
      <c r="G495" t="s">
        <v>66</v>
      </c>
      <c r="H495">
        <v>8</v>
      </c>
      <c r="I495">
        <v>37030.83</v>
      </c>
      <c r="J495" s="2">
        <v>0.05</v>
      </c>
      <c r="K495" t="s">
        <v>31</v>
      </c>
      <c r="L495">
        <v>281434.31</v>
      </c>
      <c r="M495" t="str">
        <f>TEXT(Table1[[#This Row],[OrderDate]], "mmm")</f>
        <v>Dec</v>
      </c>
      <c r="N495" t="str">
        <f>IF(Table1[[#This Row],[TotalSales]]&gt;50000,"High",IF(L495&gt;20000,"Medium","Low"))</f>
        <v>High</v>
      </c>
      <c r="O495">
        <f>Table1[[#This Row],[TotalSales]]/Table1[[#This Row],[Quantity]]</f>
        <v>35179.28875</v>
      </c>
    </row>
    <row r="496" spans="1:15" x14ac:dyDescent="0.35">
      <c r="A496" t="s">
        <v>554</v>
      </c>
      <c r="B496" s="1">
        <v>45465</v>
      </c>
      <c r="C496" t="s">
        <v>13</v>
      </c>
      <c r="D496" t="s">
        <v>14</v>
      </c>
      <c r="E496" t="s">
        <v>22</v>
      </c>
      <c r="F496" t="s">
        <v>23</v>
      </c>
      <c r="G496" t="s">
        <v>49</v>
      </c>
      <c r="H496">
        <v>4</v>
      </c>
      <c r="I496">
        <v>32803.85</v>
      </c>
      <c r="J496" s="2">
        <v>0.05</v>
      </c>
      <c r="K496" t="s">
        <v>25</v>
      </c>
      <c r="L496">
        <v>124654.63</v>
      </c>
      <c r="M496" t="str">
        <f>TEXT(Table1[[#This Row],[OrderDate]], "mmm")</f>
        <v>Jun</v>
      </c>
      <c r="N496" t="str">
        <f>IF(Table1[[#This Row],[TotalSales]]&gt;50000,"High",IF(L496&gt;20000,"Medium","Low"))</f>
        <v>High</v>
      </c>
      <c r="O496">
        <f>Table1[[#This Row],[TotalSales]]/Table1[[#This Row],[Quantity]]</f>
        <v>31163.657500000001</v>
      </c>
    </row>
    <row r="497" spans="1:15" x14ac:dyDescent="0.35">
      <c r="A497" t="s">
        <v>555</v>
      </c>
      <c r="B497" s="1">
        <v>45553</v>
      </c>
      <c r="C497" t="s">
        <v>40</v>
      </c>
      <c r="D497" t="s">
        <v>41</v>
      </c>
      <c r="E497" t="s">
        <v>28</v>
      </c>
      <c r="F497" t="s">
        <v>104</v>
      </c>
      <c r="G497" t="s">
        <v>24</v>
      </c>
      <c r="H497">
        <v>5</v>
      </c>
      <c r="I497">
        <v>8276.1</v>
      </c>
      <c r="J497" s="2">
        <v>0.05</v>
      </c>
      <c r="K497" t="s">
        <v>31</v>
      </c>
      <c r="L497">
        <v>39311.47</v>
      </c>
      <c r="M497" t="str">
        <f>TEXT(Table1[[#This Row],[OrderDate]], "mmm")</f>
        <v>Sep</v>
      </c>
      <c r="N497" t="str">
        <f>IF(Table1[[#This Row],[TotalSales]]&gt;50000,"High",IF(L497&gt;20000,"Medium","Low"))</f>
        <v>Medium</v>
      </c>
      <c r="O497">
        <f>Table1[[#This Row],[TotalSales]]/Table1[[#This Row],[Quantity]]</f>
        <v>7862.2939999999999</v>
      </c>
    </row>
    <row r="498" spans="1:15" x14ac:dyDescent="0.35">
      <c r="A498" t="s">
        <v>556</v>
      </c>
      <c r="B498" s="1">
        <v>45639</v>
      </c>
      <c r="C498" t="s">
        <v>46</v>
      </c>
      <c r="D498" t="s">
        <v>79</v>
      </c>
      <c r="E498" t="s">
        <v>15</v>
      </c>
      <c r="F498" t="s">
        <v>16</v>
      </c>
      <c r="G498" t="s">
        <v>17</v>
      </c>
      <c r="H498">
        <v>1</v>
      </c>
      <c r="I498">
        <v>53469.58</v>
      </c>
      <c r="J498" s="2">
        <v>0.05</v>
      </c>
      <c r="K498" t="s">
        <v>25</v>
      </c>
      <c r="L498">
        <v>50796.1</v>
      </c>
      <c r="M498" t="str">
        <f>TEXT(Table1[[#This Row],[OrderDate]], "mmm")</f>
        <v>Dec</v>
      </c>
      <c r="N498" t="str">
        <f>IF(Table1[[#This Row],[TotalSales]]&gt;50000,"High",IF(L498&gt;20000,"Medium","Low"))</f>
        <v>High</v>
      </c>
      <c r="O498">
        <f>Table1[[#This Row],[TotalSales]]/Table1[[#This Row],[Quantity]]</f>
        <v>50796.1</v>
      </c>
    </row>
    <row r="499" spans="1:15" x14ac:dyDescent="0.35">
      <c r="A499" t="s">
        <v>557</v>
      </c>
      <c r="B499" s="1">
        <v>45546</v>
      </c>
      <c r="C499" t="s">
        <v>13</v>
      </c>
      <c r="D499" t="s">
        <v>33</v>
      </c>
      <c r="E499" t="s">
        <v>34</v>
      </c>
      <c r="F499" t="s">
        <v>61</v>
      </c>
      <c r="G499" t="s">
        <v>43</v>
      </c>
      <c r="H499">
        <v>8</v>
      </c>
      <c r="I499">
        <v>27862.75</v>
      </c>
      <c r="J499" s="2">
        <v>0.1</v>
      </c>
      <c r="K499" t="s">
        <v>25</v>
      </c>
      <c r="L499">
        <v>200611.8</v>
      </c>
      <c r="M499" t="str">
        <f>TEXT(Table1[[#This Row],[OrderDate]], "mmm")</f>
        <v>Sep</v>
      </c>
      <c r="N499" t="str">
        <f>IF(Table1[[#This Row],[TotalSales]]&gt;50000,"High",IF(L499&gt;20000,"Medium","Low"))</f>
        <v>High</v>
      </c>
      <c r="O499">
        <f>Table1[[#This Row],[TotalSales]]/Table1[[#This Row],[Quantity]]</f>
        <v>25076.474999999999</v>
      </c>
    </row>
    <row r="500" spans="1:15" x14ac:dyDescent="0.35">
      <c r="A500" t="s">
        <v>558</v>
      </c>
      <c r="B500" s="1">
        <v>45484</v>
      </c>
      <c r="C500" t="s">
        <v>40</v>
      </c>
      <c r="D500" t="s">
        <v>41</v>
      </c>
      <c r="E500" t="s">
        <v>15</v>
      </c>
      <c r="F500" t="s">
        <v>38</v>
      </c>
      <c r="G500" t="s">
        <v>24</v>
      </c>
      <c r="H500">
        <v>8</v>
      </c>
      <c r="I500">
        <v>25389.16</v>
      </c>
      <c r="J500" s="2">
        <v>0</v>
      </c>
      <c r="K500" t="s">
        <v>25</v>
      </c>
      <c r="L500">
        <v>203113.28</v>
      </c>
      <c r="M500" t="str">
        <f>TEXT(Table1[[#This Row],[OrderDate]], "mmm")</f>
        <v>Jul</v>
      </c>
      <c r="N500" t="str">
        <f>IF(Table1[[#This Row],[TotalSales]]&gt;50000,"High",IF(L500&gt;20000,"Medium","Low"))</f>
        <v>High</v>
      </c>
      <c r="O500">
        <f>Table1[[#This Row],[TotalSales]]/Table1[[#This Row],[Quantity]]</f>
        <v>25389.16</v>
      </c>
    </row>
    <row r="501" spans="1:15" x14ac:dyDescent="0.35">
      <c r="A501" t="s">
        <v>559</v>
      </c>
      <c r="B501" s="1">
        <v>45491</v>
      </c>
      <c r="C501" t="s">
        <v>13</v>
      </c>
      <c r="D501" t="s">
        <v>33</v>
      </c>
      <c r="E501" t="s">
        <v>34</v>
      </c>
      <c r="F501" t="s">
        <v>61</v>
      </c>
      <c r="G501" t="s">
        <v>30</v>
      </c>
      <c r="H501">
        <v>8</v>
      </c>
      <c r="I501">
        <v>42067.81</v>
      </c>
      <c r="J501" s="2">
        <v>0.1</v>
      </c>
      <c r="K501" t="s">
        <v>18</v>
      </c>
      <c r="L501">
        <v>302888.23</v>
      </c>
      <c r="M501" t="str">
        <f>TEXT(Table1[[#This Row],[OrderDate]], "mmm")</f>
        <v>Jul</v>
      </c>
      <c r="N501" t="str">
        <f>IF(Table1[[#This Row],[TotalSales]]&gt;50000,"High",IF(L501&gt;20000,"Medium","Low"))</f>
        <v>High</v>
      </c>
      <c r="O501">
        <f>Table1[[#This Row],[TotalSales]]/Table1[[#This Row],[Quantity]]</f>
        <v>37861.028749999998</v>
      </c>
    </row>
    <row r="502" spans="1:15" x14ac:dyDescent="0.35">
      <c r="A502" t="s">
        <v>560</v>
      </c>
      <c r="B502" s="1">
        <v>45594</v>
      </c>
      <c r="C502" t="s">
        <v>13</v>
      </c>
      <c r="D502" t="s">
        <v>37</v>
      </c>
      <c r="E502" t="s">
        <v>15</v>
      </c>
      <c r="F502" t="s">
        <v>38</v>
      </c>
      <c r="G502" t="s">
        <v>24</v>
      </c>
      <c r="H502">
        <v>7</v>
      </c>
      <c r="I502">
        <v>34008.29</v>
      </c>
      <c r="J502" s="2">
        <v>0</v>
      </c>
      <c r="K502" t="s">
        <v>44</v>
      </c>
      <c r="L502">
        <v>238058.03</v>
      </c>
      <c r="M502" t="str">
        <f>TEXT(Table1[[#This Row],[OrderDate]], "mmm")</f>
        <v>Oct</v>
      </c>
      <c r="N502" t="str">
        <f>IF(Table1[[#This Row],[TotalSales]]&gt;50000,"High",IF(L502&gt;20000,"Medium","Low"))</f>
        <v>High</v>
      </c>
      <c r="O502">
        <f>Table1[[#This Row],[TotalSales]]/Table1[[#This Row],[Quantity]]</f>
        <v>34008.29</v>
      </c>
    </row>
    <row r="503" spans="1:15" x14ac:dyDescent="0.35">
      <c r="A503" t="s">
        <v>561</v>
      </c>
      <c r="B503" s="1">
        <v>45341</v>
      </c>
      <c r="C503" t="s">
        <v>13</v>
      </c>
      <c r="D503" t="s">
        <v>37</v>
      </c>
      <c r="E503" t="s">
        <v>28</v>
      </c>
      <c r="F503" t="s">
        <v>76</v>
      </c>
      <c r="G503" t="s">
        <v>49</v>
      </c>
      <c r="H503">
        <v>7</v>
      </c>
      <c r="I503">
        <v>19113.84</v>
      </c>
      <c r="J503" s="2">
        <v>0</v>
      </c>
      <c r="K503" t="s">
        <v>31</v>
      </c>
      <c r="L503">
        <v>133796.88</v>
      </c>
      <c r="M503" t="str">
        <f>TEXT(Table1[[#This Row],[OrderDate]], "mmm")</f>
        <v>Feb</v>
      </c>
      <c r="N503" t="str">
        <f>IF(Table1[[#This Row],[TotalSales]]&gt;50000,"High",IF(L503&gt;20000,"Medium","Low"))</f>
        <v>High</v>
      </c>
      <c r="O503">
        <f>Table1[[#This Row],[TotalSales]]/Table1[[#This Row],[Quantity]]</f>
        <v>19113.84</v>
      </c>
    </row>
    <row r="504" spans="1:15" x14ac:dyDescent="0.35">
      <c r="A504" t="s">
        <v>562</v>
      </c>
      <c r="B504" s="1">
        <v>45378</v>
      </c>
      <c r="C504" t="s">
        <v>46</v>
      </c>
      <c r="D504" t="s">
        <v>79</v>
      </c>
      <c r="E504" t="s">
        <v>15</v>
      </c>
      <c r="F504" t="s">
        <v>56</v>
      </c>
      <c r="G504" t="s">
        <v>49</v>
      </c>
      <c r="H504">
        <v>1</v>
      </c>
      <c r="I504">
        <v>29705.24</v>
      </c>
      <c r="J504" s="2">
        <v>0</v>
      </c>
      <c r="K504" t="s">
        <v>31</v>
      </c>
      <c r="L504">
        <v>29705.24</v>
      </c>
      <c r="M504" t="str">
        <f>TEXT(Table1[[#This Row],[OrderDate]], "mmm")</f>
        <v>Mar</v>
      </c>
      <c r="N504" t="str">
        <f>IF(Table1[[#This Row],[TotalSales]]&gt;50000,"High",IF(L504&gt;20000,"Medium","Low"))</f>
        <v>Medium</v>
      </c>
      <c r="O504">
        <f>Table1[[#This Row],[TotalSales]]/Table1[[#This Row],[Quantity]]</f>
        <v>29705.24</v>
      </c>
    </row>
    <row r="505" spans="1:15" x14ac:dyDescent="0.35">
      <c r="A505" t="s">
        <v>563</v>
      </c>
      <c r="B505" s="1">
        <v>45584</v>
      </c>
      <c r="C505" t="s">
        <v>13</v>
      </c>
      <c r="D505" t="s">
        <v>37</v>
      </c>
      <c r="E505" t="s">
        <v>34</v>
      </c>
      <c r="F505" t="s">
        <v>35</v>
      </c>
      <c r="G505" t="s">
        <v>83</v>
      </c>
      <c r="H505">
        <v>7</v>
      </c>
      <c r="I505">
        <v>17868.689999999999</v>
      </c>
      <c r="J505" s="2">
        <v>0</v>
      </c>
      <c r="K505" t="s">
        <v>18</v>
      </c>
      <c r="L505">
        <v>125080.83</v>
      </c>
      <c r="M505" t="str">
        <f>TEXT(Table1[[#This Row],[OrderDate]], "mmm")</f>
        <v>Oct</v>
      </c>
      <c r="N505" t="str">
        <f>IF(Table1[[#This Row],[TotalSales]]&gt;50000,"High",IF(L505&gt;20000,"Medium","Low"))</f>
        <v>High</v>
      </c>
      <c r="O505">
        <f>Table1[[#This Row],[TotalSales]]/Table1[[#This Row],[Quantity]]</f>
        <v>17868.689999999999</v>
      </c>
    </row>
    <row r="506" spans="1:15" x14ac:dyDescent="0.35">
      <c r="A506" t="s">
        <v>564</v>
      </c>
      <c r="B506" s="1">
        <v>45546</v>
      </c>
      <c r="C506" t="s">
        <v>40</v>
      </c>
      <c r="D506" t="s">
        <v>55</v>
      </c>
      <c r="E506" t="s">
        <v>28</v>
      </c>
      <c r="F506" t="s">
        <v>29</v>
      </c>
      <c r="G506" t="s">
        <v>49</v>
      </c>
      <c r="H506">
        <v>11</v>
      </c>
      <c r="I506">
        <v>46633.91</v>
      </c>
      <c r="J506" s="2">
        <v>0.2</v>
      </c>
      <c r="K506" t="s">
        <v>25</v>
      </c>
      <c r="L506">
        <v>410378.41</v>
      </c>
      <c r="M506" t="str">
        <f>TEXT(Table1[[#This Row],[OrderDate]], "mmm")</f>
        <v>Sep</v>
      </c>
      <c r="N506" t="str">
        <f>IF(Table1[[#This Row],[TotalSales]]&gt;50000,"High",IF(L506&gt;20000,"Medium","Low"))</f>
        <v>High</v>
      </c>
      <c r="O506">
        <f>Table1[[#This Row],[TotalSales]]/Table1[[#This Row],[Quantity]]</f>
        <v>37307.128181818181</v>
      </c>
    </row>
    <row r="507" spans="1:15" x14ac:dyDescent="0.35">
      <c r="A507" t="s">
        <v>565</v>
      </c>
      <c r="B507" s="1">
        <v>45464</v>
      </c>
      <c r="C507" t="s">
        <v>46</v>
      </c>
      <c r="D507" t="s">
        <v>71</v>
      </c>
      <c r="E507" t="s">
        <v>22</v>
      </c>
      <c r="F507" t="s">
        <v>23</v>
      </c>
      <c r="G507" t="s">
        <v>49</v>
      </c>
      <c r="H507">
        <v>5</v>
      </c>
      <c r="I507">
        <v>3886.38</v>
      </c>
      <c r="J507" s="2">
        <v>0.2</v>
      </c>
      <c r="K507" t="s">
        <v>44</v>
      </c>
      <c r="L507">
        <v>15545.52</v>
      </c>
      <c r="M507" t="str">
        <f>TEXT(Table1[[#This Row],[OrderDate]], "mmm")</f>
        <v>Jun</v>
      </c>
      <c r="N507" t="str">
        <f>IF(Table1[[#This Row],[TotalSales]]&gt;50000,"High",IF(L507&gt;20000,"Medium","Low"))</f>
        <v>Low</v>
      </c>
      <c r="O507">
        <f>Table1[[#This Row],[TotalSales]]/Table1[[#This Row],[Quantity]]</f>
        <v>3109.1040000000003</v>
      </c>
    </row>
    <row r="508" spans="1:15" x14ac:dyDescent="0.35">
      <c r="A508" t="s">
        <v>566</v>
      </c>
      <c r="B508" s="1">
        <v>45497</v>
      </c>
      <c r="C508" t="s">
        <v>20</v>
      </c>
      <c r="D508" t="s">
        <v>97</v>
      </c>
      <c r="E508" t="s">
        <v>34</v>
      </c>
      <c r="F508" t="s">
        <v>48</v>
      </c>
      <c r="G508" t="s">
        <v>24</v>
      </c>
      <c r="H508">
        <v>5</v>
      </c>
      <c r="I508">
        <v>34448.019999999997</v>
      </c>
      <c r="J508" s="2">
        <v>0.05</v>
      </c>
      <c r="K508" t="s">
        <v>25</v>
      </c>
      <c r="L508">
        <v>163628.09</v>
      </c>
      <c r="M508" t="str">
        <f>TEXT(Table1[[#This Row],[OrderDate]], "mmm")</f>
        <v>Jul</v>
      </c>
      <c r="N508" t="str">
        <f>IF(Table1[[#This Row],[TotalSales]]&gt;50000,"High",IF(L508&gt;20000,"Medium","Low"))</f>
        <v>High</v>
      </c>
      <c r="O508">
        <f>Table1[[#This Row],[TotalSales]]/Table1[[#This Row],[Quantity]]</f>
        <v>32725.617999999999</v>
      </c>
    </row>
    <row r="509" spans="1:15" x14ac:dyDescent="0.35">
      <c r="A509" t="s">
        <v>567</v>
      </c>
      <c r="B509" s="1">
        <v>45564</v>
      </c>
      <c r="C509" t="s">
        <v>13</v>
      </c>
      <c r="D509" t="s">
        <v>33</v>
      </c>
      <c r="E509" t="s">
        <v>22</v>
      </c>
      <c r="F509" t="s">
        <v>82</v>
      </c>
      <c r="G509" t="s">
        <v>69</v>
      </c>
      <c r="H509">
        <v>13</v>
      </c>
      <c r="I509">
        <v>33870.339999999997</v>
      </c>
      <c r="J509" s="2">
        <v>0.2</v>
      </c>
      <c r="K509" t="s">
        <v>44</v>
      </c>
      <c r="L509">
        <v>352251.54</v>
      </c>
      <c r="M509" t="str">
        <f>TEXT(Table1[[#This Row],[OrderDate]], "mmm")</f>
        <v>Sep</v>
      </c>
      <c r="N509" t="str">
        <f>IF(Table1[[#This Row],[TotalSales]]&gt;50000,"High",IF(L509&gt;20000,"Medium","Low"))</f>
        <v>High</v>
      </c>
      <c r="O509">
        <f>Table1[[#This Row],[TotalSales]]/Table1[[#This Row],[Quantity]]</f>
        <v>27096.272307692307</v>
      </c>
    </row>
    <row r="510" spans="1:15" x14ac:dyDescent="0.35">
      <c r="A510" t="s">
        <v>568</v>
      </c>
      <c r="B510" s="1">
        <v>45642</v>
      </c>
      <c r="C510" t="s">
        <v>20</v>
      </c>
      <c r="D510" t="s">
        <v>27</v>
      </c>
      <c r="E510" t="s">
        <v>34</v>
      </c>
      <c r="F510" t="s">
        <v>61</v>
      </c>
      <c r="G510" t="s">
        <v>66</v>
      </c>
      <c r="H510">
        <v>13</v>
      </c>
      <c r="I510">
        <v>16655.11</v>
      </c>
      <c r="J510" s="2">
        <v>0.05</v>
      </c>
      <c r="K510" t="s">
        <v>44</v>
      </c>
      <c r="L510">
        <v>205690.61</v>
      </c>
      <c r="M510" t="str">
        <f>TEXT(Table1[[#This Row],[OrderDate]], "mmm")</f>
        <v>Dec</v>
      </c>
      <c r="N510" t="str">
        <f>IF(Table1[[#This Row],[TotalSales]]&gt;50000,"High",IF(L510&gt;20000,"Medium","Low"))</f>
        <v>High</v>
      </c>
      <c r="O510">
        <f>Table1[[#This Row],[TotalSales]]/Table1[[#This Row],[Quantity]]</f>
        <v>15822.354615384615</v>
      </c>
    </row>
    <row r="511" spans="1:15" x14ac:dyDescent="0.35">
      <c r="A511" t="s">
        <v>569</v>
      </c>
      <c r="B511" s="1">
        <v>45599</v>
      </c>
      <c r="C511" t="s">
        <v>13</v>
      </c>
      <c r="D511" t="s">
        <v>33</v>
      </c>
      <c r="E511" t="s">
        <v>28</v>
      </c>
      <c r="F511" t="s">
        <v>125</v>
      </c>
      <c r="G511" t="s">
        <v>30</v>
      </c>
      <c r="H511">
        <v>4</v>
      </c>
      <c r="I511">
        <v>22441.45</v>
      </c>
      <c r="J511" s="2">
        <v>0</v>
      </c>
      <c r="K511" t="s">
        <v>25</v>
      </c>
      <c r="L511">
        <v>89765.8</v>
      </c>
      <c r="M511" t="str">
        <f>TEXT(Table1[[#This Row],[OrderDate]], "mmm")</f>
        <v>Nov</v>
      </c>
      <c r="N511" t="str">
        <f>IF(Table1[[#This Row],[TotalSales]]&gt;50000,"High",IF(L511&gt;20000,"Medium","Low"))</f>
        <v>High</v>
      </c>
      <c r="O511">
        <f>Table1[[#This Row],[TotalSales]]/Table1[[#This Row],[Quantity]]</f>
        <v>22441.45</v>
      </c>
    </row>
    <row r="512" spans="1:15" x14ac:dyDescent="0.35">
      <c r="A512" t="s">
        <v>570</v>
      </c>
      <c r="B512" s="1">
        <v>45431</v>
      </c>
      <c r="C512" t="s">
        <v>20</v>
      </c>
      <c r="D512" t="s">
        <v>27</v>
      </c>
      <c r="E512" t="s">
        <v>34</v>
      </c>
      <c r="F512" t="s">
        <v>35</v>
      </c>
      <c r="G512" t="s">
        <v>30</v>
      </c>
      <c r="H512">
        <v>3</v>
      </c>
      <c r="I512">
        <v>1796.97</v>
      </c>
      <c r="J512" s="2">
        <v>0.2</v>
      </c>
      <c r="K512" t="s">
        <v>31</v>
      </c>
      <c r="L512">
        <v>4312.7299999999996</v>
      </c>
      <c r="M512" t="str">
        <f>TEXT(Table1[[#This Row],[OrderDate]], "mmm")</f>
        <v>May</v>
      </c>
      <c r="N512" t="str">
        <f>IF(Table1[[#This Row],[TotalSales]]&gt;50000,"High",IF(L512&gt;20000,"Medium","Low"))</f>
        <v>Low</v>
      </c>
      <c r="O512">
        <f>Table1[[#This Row],[TotalSales]]/Table1[[#This Row],[Quantity]]</f>
        <v>1437.5766666666666</v>
      </c>
    </row>
    <row r="513" spans="1:15" x14ac:dyDescent="0.35">
      <c r="A513" t="s">
        <v>571</v>
      </c>
      <c r="B513" s="1">
        <v>45444</v>
      </c>
      <c r="C513" t="s">
        <v>13</v>
      </c>
      <c r="D513" t="s">
        <v>33</v>
      </c>
      <c r="E513" t="s">
        <v>15</v>
      </c>
      <c r="F513" t="s">
        <v>16</v>
      </c>
      <c r="G513" t="s">
        <v>24</v>
      </c>
      <c r="H513">
        <v>14</v>
      </c>
      <c r="I513">
        <v>3684.28</v>
      </c>
      <c r="J513" s="2">
        <v>0.05</v>
      </c>
      <c r="K513" t="s">
        <v>18</v>
      </c>
      <c r="L513">
        <v>49000.92</v>
      </c>
      <c r="M513" t="str">
        <f>TEXT(Table1[[#This Row],[OrderDate]], "mmm")</f>
        <v>Jun</v>
      </c>
      <c r="N513" t="str">
        <f>IF(Table1[[#This Row],[TotalSales]]&gt;50000,"High",IF(L513&gt;20000,"Medium","Low"))</f>
        <v>Medium</v>
      </c>
      <c r="O513">
        <f>Table1[[#This Row],[TotalSales]]/Table1[[#This Row],[Quantity]]</f>
        <v>3500.065714285714</v>
      </c>
    </row>
    <row r="514" spans="1:15" x14ac:dyDescent="0.35">
      <c r="A514" t="s">
        <v>572</v>
      </c>
      <c r="B514" s="1">
        <v>45338</v>
      </c>
      <c r="C514" t="s">
        <v>13</v>
      </c>
      <c r="D514" t="s">
        <v>37</v>
      </c>
      <c r="E514" t="s">
        <v>15</v>
      </c>
      <c r="F514" t="s">
        <v>16</v>
      </c>
      <c r="G514" t="s">
        <v>69</v>
      </c>
      <c r="H514">
        <v>4</v>
      </c>
      <c r="I514">
        <v>33070.21</v>
      </c>
      <c r="J514" s="2">
        <v>0.2</v>
      </c>
      <c r="K514" t="s">
        <v>25</v>
      </c>
      <c r="L514">
        <v>105824.67</v>
      </c>
      <c r="M514" t="str">
        <f>TEXT(Table1[[#This Row],[OrderDate]], "mmm")</f>
        <v>Feb</v>
      </c>
      <c r="N514" t="str">
        <f>IF(Table1[[#This Row],[TotalSales]]&gt;50000,"High",IF(L514&gt;20000,"Medium","Low"))</f>
        <v>High</v>
      </c>
      <c r="O514">
        <f>Table1[[#This Row],[TotalSales]]/Table1[[#This Row],[Quantity]]</f>
        <v>26456.1675</v>
      </c>
    </row>
    <row r="515" spans="1:15" x14ac:dyDescent="0.35">
      <c r="A515" t="s">
        <v>573</v>
      </c>
      <c r="B515" s="1">
        <v>45401</v>
      </c>
      <c r="C515" t="s">
        <v>46</v>
      </c>
      <c r="D515" t="s">
        <v>47</v>
      </c>
      <c r="E515" t="s">
        <v>22</v>
      </c>
      <c r="F515" t="s">
        <v>42</v>
      </c>
      <c r="G515" t="s">
        <v>17</v>
      </c>
      <c r="H515">
        <v>5</v>
      </c>
      <c r="I515">
        <v>24283.25</v>
      </c>
      <c r="J515" s="2">
        <v>0</v>
      </c>
      <c r="K515" t="s">
        <v>44</v>
      </c>
      <c r="L515">
        <v>121416.25</v>
      </c>
      <c r="M515" t="str">
        <f>TEXT(Table1[[#This Row],[OrderDate]], "mmm")</f>
        <v>Apr</v>
      </c>
      <c r="N515" t="str">
        <f>IF(Table1[[#This Row],[TotalSales]]&gt;50000,"High",IF(L515&gt;20000,"Medium","Low"))</f>
        <v>High</v>
      </c>
      <c r="O515">
        <f>Table1[[#This Row],[TotalSales]]/Table1[[#This Row],[Quantity]]</f>
        <v>24283.25</v>
      </c>
    </row>
    <row r="516" spans="1:15" x14ac:dyDescent="0.35">
      <c r="A516" t="s">
        <v>574</v>
      </c>
      <c r="B516" s="1">
        <v>45366</v>
      </c>
      <c r="C516" t="s">
        <v>20</v>
      </c>
      <c r="D516" t="s">
        <v>97</v>
      </c>
      <c r="E516" t="s">
        <v>34</v>
      </c>
      <c r="F516" t="s">
        <v>88</v>
      </c>
      <c r="G516" t="s">
        <v>43</v>
      </c>
      <c r="H516">
        <v>6</v>
      </c>
      <c r="I516">
        <v>26242.15</v>
      </c>
      <c r="J516" s="2">
        <v>0</v>
      </c>
      <c r="K516" t="s">
        <v>18</v>
      </c>
      <c r="L516">
        <v>157452.9</v>
      </c>
      <c r="M516" t="str">
        <f>TEXT(Table1[[#This Row],[OrderDate]], "mmm")</f>
        <v>Mar</v>
      </c>
      <c r="N516" t="str">
        <f>IF(Table1[[#This Row],[TotalSales]]&gt;50000,"High",IF(L516&gt;20000,"Medium","Low"))</f>
        <v>High</v>
      </c>
      <c r="O516">
        <f>Table1[[#This Row],[TotalSales]]/Table1[[#This Row],[Quantity]]</f>
        <v>26242.149999999998</v>
      </c>
    </row>
    <row r="517" spans="1:15" x14ac:dyDescent="0.35">
      <c r="A517" t="s">
        <v>575</v>
      </c>
      <c r="B517" s="1">
        <v>45650</v>
      </c>
      <c r="C517" t="s">
        <v>13</v>
      </c>
      <c r="D517" t="s">
        <v>33</v>
      </c>
      <c r="E517" t="s">
        <v>28</v>
      </c>
      <c r="F517" t="s">
        <v>104</v>
      </c>
      <c r="G517" t="s">
        <v>66</v>
      </c>
      <c r="H517">
        <v>6</v>
      </c>
      <c r="I517">
        <v>49693.01</v>
      </c>
      <c r="J517" s="2">
        <v>0.15</v>
      </c>
      <c r="K517" t="s">
        <v>44</v>
      </c>
      <c r="L517">
        <v>253434.35</v>
      </c>
      <c r="M517" t="str">
        <f>TEXT(Table1[[#This Row],[OrderDate]], "mmm")</f>
        <v>Dec</v>
      </c>
      <c r="N517" t="str">
        <f>IF(Table1[[#This Row],[TotalSales]]&gt;50000,"High",IF(L517&gt;20000,"Medium","Low"))</f>
        <v>High</v>
      </c>
      <c r="O517">
        <f>Table1[[#This Row],[TotalSales]]/Table1[[#This Row],[Quantity]]</f>
        <v>42239.058333333334</v>
      </c>
    </row>
    <row r="518" spans="1:15" x14ac:dyDescent="0.35">
      <c r="A518" t="s">
        <v>576</v>
      </c>
      <c r="B518" s="1">
        <v>45399</v>
      </c>
      <c r="C518" t="s">
        <v>20</v>
      </c>
      <c r="D518" t="s">
        <v>97</v>
      </c>
      <c r="E518" t="s">
        <v>28</v>
      </c>
      <c r="F518" t="s">
        <v>76</v>
      </c>
      <c r="G518" t="s">
        <v>43</v>
      </c>
      <c r="H518">
        <v>14</v>
      </c>
      <c r="I518">
        <v>48985.52</v>
      </c>
      <c r="J518" s="2">
        <v>0.05</v>
      </c>
      <c r="K518" t="s">
        <v>44</v>
      </c>
      <c r="L518">
        <v>651507.42000000004</v>
      </c>
      <c r="M518" t="str">
        <f>TEXT(Table1[[#This Row],[OrderDate]], "mmm")</f>
        <v>Apr</v>
      </c>
      <c r="N518" t="str">
        <f>IF(Table1[[#This Row],[TotalSales]]&gt;50000,"High",IF(L518&gt;20000,"Medium","Low"))</f>
        <v>High</v>
      </c>
      <c r="O518">
        <f>Table1[[#This Row],[TotalSales]]/Table1[[#This Row],[Quantity]]</f>
        <v>46536.244285714289</v>
      </c>
    </row>
    <row r="519" spans="1:15" x14ac:dyDescent="0.35">
      <c r="A519" t="s">
        <v>577</v>
      </c>
      <c r="B519" s="1">
        <v>45503</v>
      </c>
      <c r="C519" t="s">
        <v>40</v>
      </c>
      <c r="D519" t="s">
        <v>51</v>
      </c>
      <c r="E519" t="s">
        <v>15</v>
      </c>
      <c r="F519" t="s">
        <v>38</v>
      </c>
      <c r="G519" t="s">
        <v>49</v>
      </c>
      <c r="H519">
        <v>15</v>
      </c>
      <c r="I519">
        <v>46295.76</v>
      </c>
      <c r="J519" s="2">
        <v>0.15</v>
      </c>
      <c r="K519" t="s">
        <v>31</v>
      </c>
      <c r="L519">
        <v>590270.93999999994</v>
      </c>
      <c r="M519" t="str">
        <f>TEXT(Table1[[#This Row],[OrderDate]], "mmm")</f>
        <v>Jul</v>
      </c>
      <c r="N519" t="str">
        <f>IF(Table1[[#This Row],[TotalSales]]&gt;50000,"High",IF(L519&gt;20000,"Medium","Low"))</f>
        <v>High</v>
      </c>
      <c r="O519">
        <f>Table1[[#This Row],[TotalSales]]/Table1[[#This Row],[Quantity]]</f>
        <v>39351.395999999993</v>
      </c>
    </row>
    <row r="520" spans="1:15" x14ac:dyDescent="0.35">
      <c r="A520" t="s">
        <v>578</v>
      </c>
      <c r="B520" s="1">
        <v>45647</v>
      </c>
      <c r="C520" t="s">
        <v>13</v>
      </c>
      <c r="D520" t="s">
        <v>37</v>
      </c>
      <c r="E520" t="s">
        <v>28</v>
      </c>
      <c r="F520" t="s">
        <v>104</v>
      </c>
      <c r="G520" t="s">
        <v>66</v>
      </c>
      <c r="H520">
        <v>1</v>
      </c>
      <c r="I520">
        <v>41956.25</v>
      </c>
      <c r="J520" s="2">
        <v>0.15</v>
      </c>
      <c r="K520" t="s">
        <v>18</v>
      </c>
      <c r="L520">
        <v>35662.81</v>
      </c>
      <c r="M520" t="str">
        <f>TEXT(Table1[[#This Row],[OrderDate]], "mmm")</f>
        <v>Dec</v>
      </c>
      <c r="N520" t="str">
        <f>IF(Table1[[#This Row],[TotalSales]]&gt;50000,"High",IF(L520&gt;20000,"Medium","Low"))</f>
        <v>Medium</v>
      </c>
      <c r="O520">
        <f>Table1[[#This Row],[TotalSales]]/Table1[[#This Row],[Quantity]]</f>
        <v>35662.81</v>
      </c>
    </row>
    <row r="521" spans="1:15" x14ac:dyDescent="0.35">
      <c r="A521" t="s">
        <v>579</v>
      </c>
      <c r="B521" s="1">
        <v>45372</v>
      </c>
      <c r="C521" t="s">
        <v>46</v>
      </c>
      <c r="D521" t="s">
        <v>47</v>
      </c>
      <c r="E521" t="s">
        <v>28</v>
      </c>
      <c r="F521" t="s">
        <v>29</v>
      </c>
      <c r="G521" t="s">
        <v>83</v>
      </c>
      <c r="H521">
        <v>4</v>
      </c>
      <c r="I521">
        <v>28496.85</v>
      </c>
      <c r="J521" s="2">
        <v>0.2</v>
      </c>
      <c r="K521" t="s">
        <v>25</v>
      </c>
      <c r="L521">
        <v>91189.92</v>
      </c>
      <c r="M521" t="str">
        <f>TEXT(Table1[[#This Row],[OrderDate]], "mmm")</f>
        <v>Mar</v>
      </c>
      <c r="N521" t="str">
        <f>IF(Table1[[#This Row],[TotalSales]]&gt;50000,"High",IF(L521&gt;20000,"Medium","Low"))</f>
        <v>High</v>
      </c>
      <c r="O521">
        <f>Table1[[#This Row],[TotalSales]]/Table1[[#This Row],[Quantity]]</f>
        <v>22797.48</v>
      </c>
    </row>
    <row r="522" spans="1:15" x14ac:dyDescent="0.35">
      <c r="A522" t="s">
        <v>580</v>
      </c>
      <c r="B522" s="1">
        <v>45643</v>
      </c>
      <c r="C522" t="s">
        <v>13</v>
      </c>
      <c r="D522" t="s">
        <v>14</v>
      </c>
      <c r="E522" t="s">
        <v>34</v>
      </c>
      <c r="F522" t="s">
        <v>61</v>
      </c>
      <c r="G522" t="s">
        <v>66</v>
      </c>
      <c r="H522">
        <v>10</v>
      </c>
      <c r="I522">
        <v>45506.92</v>
      </c>
      <c r="J522" s="2">
        <v>0.2</v>
      </c>
      <c r="K522" t="s">
        <v>18</v>
      </c>
      <c r="L522">
        <v>364055.36</v>
      </c>
      <c r="M522" t="str">
        <f>TEXT(Table1[[#This Row],[OrderDate]], "mmm")</f>
        <v>Dec</v>
      </c>
      <c r="N522" t="str">
        <f>IF(Table1[[#This Row],[TotalSales]]&gt;50000,"High",IF(L522&gt;20000,"Medium","Low"))</f>
        <v>High</v>
      </c>
      <c r="O522">
        <f>Table1[[#This Row],[TotalSales]]/Table1[[#This Row],[Quantity]]</f>
        <v>36405.536</v>
      </c>
    </row>
    <row r="523" spans="1:15" x14ac:dyDescent="0.35">
      <c r="A523" t="s">
        <v>581</v>
      </c>
      <c r="B523" s="1">
        <v>45528</v>
      </c>
      <c r="C523" t="s">
        <v>20</v>
      </c>
      <c r="D523" t="s">
        <v>27</v>
      </c>
      <c r="E523" t="s">
        <v>15</v>
      </c>
      <c r="F523" t="s">
        <v>16</v>
      </c>
      <c r="G523" t="s">
        <v>17</v>
      </c>
      <c r="H523">
        <v>4</v>
      </c>
      <c r="I523">
        <v>14545.72</v>
      </c>
      <c r="J523" s="2">
        <v>0.2</v>
      </c>
      <c r="K523" t="s">
        <v>44</v>
      </c>
      <c r="L523">
        <v>46546.3</v>
      </c>
      <c r="M523" t="str">
        <f>TEXT(Table1[[#This Row],[OrderDate]], "mmm")</f>
        <v>Aug</v>
      </c>
      <c r="N523" t="str">
        <f>IF(Table1[[#This Row],[TotalSales]]&gt;50000,"High",IF(L523&gt;20000,"Medium","Low"))</f>
        <v>Medium</v>
      </c>
      <c r="O523">
        <f>Table1[[#This Row],[TotalSales]]/Table1[[#This Row],[Quantity]]</f>
        <v>11636.575000000001</v>
      </c>
    </row>
    <row r="524" spans="1:15" x14ac:dyDescent="0.35">
      <c r="A524" t="s">
        <v>582</v>
      </c>
      <c r="B524" s="1">
        <v>45561</v>
      </c>
      <c r="C524" t="s">
        <v>46</v>
      </c>
      <c r="D524" t="s">
        <v>71</v>
      </c>
      <c r="E524" t="s">
        <v>22</v>
      </c>
      <c r="F524" t="s">
        <v>23</v>
      </c>
      <c r="G524" t="s">
        <v>49</v>
      </c>
      <c r="H524">
        <v>7</v>
      </c>
      <c r="I524">
        <v>42580.09</v>
      </c>
      <c r="J524" s="2">
        <v>0.05</v>
      </c>
      <c r="K524" t="s">
        <v>44</v>
      </c>
      <c r="L524">
        <v>283157.59999999998</v>
      </c>
      <c r="M524" t="str">
        <f>TEXT(Table1[[#This Row],[OrderDate]], "mmm")</f>
        <v>Sep</v>
      </c>
      <c r="N524" t="str">
        <f>IF(Table1[[#This Row],[TotalSales]]&gt;50000,"High",IF(L524&gt;20000,"Medium","Low"))</f>
        <v>High</v>
      </c>
      <c r="O524">
        <f>Table1[[#This Row],[TotalSales]]/Table1[[#This Row],[Quantity]]</f>
        <v>40451.085714285713</v>
      </c>
    </row>
    <row r="525" spans="1:15" x14ac:dyDescent="0.35">
      <c r="A525" t="s">
        <v>583</v>
      </c>
      <c r="B525" s="1">
        <v>45397</v>
      </c>
      <c r="C525" t="s">
        <v>20</v>
      </c>
      <c r="D525" t="s">
        <v>97</v>
      </c>
      <c r="E525" t="s">
        <v>34</v>
      </c>
      <c r="F525" t="s">
        <v>88</v>
      </c>
      <c r="G525" t="s">
        <v>24</v>
      </c>
      <c r="H525">
        <v>10</v>
      </c>
      <c r="I525">
        <v>12013.05</v>
      </c>
      <c r="J525" s="2">
        <v>0.2</v>
      </c>
      <c r="K525" t="s">
        <v>31</v>
      </c>
      <c r="L525">
        <v>96104.4</v>
      </c>
      <c r="M525" t="str">
        <f>TEXT(Table1[[#This Row],[OrderDate]], "mmm")</f>
        <v>Apr</v>
      </c>
      <c r="N525" t="str">
        <f>IF(Table1[[#This Row],[TotalSales]]&gt;50000,"High",IF(L525&gt;20000,"Medium","Low"))</f>
        <v>High</v>
      </c>
      <c r="O525">
        <f>Table1[[#This Row],[TotalSales]]/Table1[[#This Row],[Quantity]]</f>
        <v>9610.4399999999987</v>
      </c>
    </row>
    <row r="526" spans="1:15" x14ac:dyDescent="0.35">
      <c r="A526" t="s">
        <v>584</v>
      </c>
      <c r="B526" s="1">
        <v>45522</v>
      </c>
      <c r="C526" t="s">
        <v>20</v>
      </c>
      <c r="D526" t="s">
        <v>21</v>
      </c>
      <c r="E526" t="s">
        <v>28</v>
      </c>
      <c r="F526" t="s">
        <v>29</v>
      </c>
      <c r="G526" t="s">
        <v>83</v>
      </c>
      <c r="H526">
        <v>15</v>
      </c>
      <c r="I526">
        <v>13807.82</v>
      </c>
      <c r="J526" s="2">
        <v>0.1</v>
      </c>
      <c r="K526" t="s">
        <v>25</v>
      </c>
      <c r="L526">
        <v>186405.57</v>
      </c>
      <c r="M526" t="str">
        <f>TEXT(Table1[[#This Row],[OrderDate]], "mmm")</f>
        <v>Aug</v>
      </c>
      <c r="N526" t="str">
        <f>IF(Table1[[#This Row],[TotalSales]]&gt;50000,"High",IF(L526&gt;20000,"Medium","Low"))</f>
        <v>High</v>
      </c>
      <c r="O526">
        <f>Table1[[#This Row],[TotalSales]]/Table1[[#This Row],[Quantity]]</f>
        <v>12427.038</v>
      </c>
    </row>
    <row r="527" spans="1:15" x14ac:dyDescent="0.35">
      <c r="A527" t="s">
        <v>585</v>
      </c>
      <c r="B527" s="1">
        <v>45597</v>
      </c>
      <c r="C527" t="s">
        <v>40</v>
      </c>
      <c r="D527" t="s">
        <v>51</v>
      </c>
      <c r="E527" t="s">
        <v>22</v>
      </c>
      <c r="F527" t="s">
        <v>82</v>
      </c>
      <c r="G527" t="s">
        <v>43</v>
      </c>
      <c r="H527">
        <v>5</v>
      </c>
      <c r="I527">
        <v>4203.45</v>
      </c>
      <c r="J527" s="2">
        <v>0.1</v>
      </c>
      <c r="K527" t="s">
        <v>31</v>
      </c>
      <c r="L527">
        <v>18915.53</v>
      </c>
      <c r="M527" t="str">
        <f>TEXT(Table1[[#This Row],[OrderDate]], "mmm")</f>
        <v>Nov</v>
      </c>
      <c r="N527" t="str">
        <f>IF(Table1[[#This Row],[TotalSales]]&gt;50000,"High",IF(L527&gt;20000,"Medium","Low"))</f>
        <v>Low</v>
      </c>
      <c r="O527">
        <f>Table1[[#This Row],[TotalSales]]/Table1[[#This Row],[Quantity]]</f>
        <v>3783.1059999999998</v>
      </c>
    </row>
    <row r="528" spans="1:15" x14ac:dyDescent="0.35">
      <c r="A528" t="s">
        <v>586</v>
      </c>
      <c r="B528" s="1">
        <v>45635</v>
      </c>
      <c r="C528" t="s">
        <v>13</v>
      </c>
      <c r="D528" t="s">
        <v>37</v>
      </c>
      <c r="E528" t="s">
        <v>28</v>
      </c>
      <c r="F528" t="s">
        <v>104</v>
      </c>
      <c r="G528" t="s">
        <v>83</v>
      </c>
      <c r="H528">
        <v>6</v>
      </c>
      <c r="I528">
        <v>7446.66</v>
      </c>
      <c r="J528" s="2">
        <v>0.1</v>
      </c>
      <c r="K528" t="s">
        <v>25</v>
      </c>
      <c r="L528">
        <v>40211.96</v>
      </c>
      <c r="M528" t="str">
        <f>TEXT(Table1[[#This Row],[OrderDate]], "mmm")</f>
        <v>Dec</v>
      </c>
      <c r="N528" t="str">
        <f>IF(Table1[[#This Row],[TotalSales]]&gt;50000,"High",IF(L528&gt;20000,"Medium","Low"))</f>
        <v>Medium</v>
      </c>
      <c r="O528">
        <f>Table1[[#This Row],[TotalSales]]/Table1[[#This Row],[Quantity]]</f>
        <v>6701.9933333333329</v>
      </c>
    </row>
    <row r="529" spans="1:15" x14ac:dyDescent="0.35">
      <c r="A529" t="s">
        <v>587</v>
      </c>
      <c r="B529" s="1">
        <v>45563</v>
      </c>
      <c r="C529" t="s">
        <v>13</v>
      </c>
      <c r="D529" t="s">
        <v>33</v>
      </c>
      <c r="E529" t="s">
        <v>22</v>
      </c>
      <c r="F529" t="s">
        <v>23</v>
      </c>
      <c r="G529" t="s">
        <v>49</v>
      </c>
      <c r="H529">
        <v>7</v>
      </c>
      <c r="I529">
        <v>7970.41</v>
      </c>
      <c r="J529" s="2">
        <v>0</v>
      </c>
      <c r="K529" t="s">
        <v>44</v>
      </c>
      <c r="L529">
        <v>55792.87</v>
      </c>
      <c r="M529" t="str">
        <f>TEXT(Table1[[#This Row],[OrderDate]], "mmm")</f>
        <v>Sep</v>
      </c>
      <c r="N529" t="str">
        <f>IF(Table1[[#This Row],[TotalSales]]&gt;50000,"High",IF(L529&gt;20000,"Medium","Low"))</f>
        <v>High</v>
      </c>
      <c r="O529">
        <f>Table1[[#This Row],[TotalSales]]/Table1[[#This Row],[Quantity]]</f>
        <v>7970.4100000000008</v>
      </c>
    </row>
    <row r="530" spans="1:15" x14ac:dyDescent="0.35">
      <c r="A530" t="s">
        <v>588</v>
      </c>
      <c r="B530" s="1">
        <v>45427</v>
      </c>
      <c r="C530" t="s">
        <v>13</v>
      </c>
      <c r="D530" t="s">
        <v>33</v>
      </c>
      <c r="E530" t="s">
        <v>34</v>
      </c>
      <c r="F530" t="s">
        <v>48</v>
      </c>
      <c r="G530" t="s">
        <v>30</v>
      </c>
      <c r="H530">
        <v>9</v>
      </c>
      <c r="I530">
        <v>17352.97</v>
      </c>
      <c r="J530" s="2">
        <v>0</v>
      </c>
      <c r="K530" t="s">
        <v>31</v>
      </c>
      <c r="L530">
        <v>156176.73000000001</v>
      </c>
      <c r="M530" t="str">
        <f>TEXT(Table1[[#This Row],[OrderDate]], "mmm")</f>
        <v>May</v>
      </c>
      <c r="N530" t="str">
        <f>IF(Table1[[#This Row],[TotalSales]]&gt;50000,"High",IF(L530&gt;20000,"Medium","Low"))</f>
        <v>High</v>
      </c>
      <c r="O530">
        <f>Table1[[#This Row],[TotalSales]]/Table1[[#This Row],[Quantity]]</f>
        <v>17352.97</v>
      </c>
    </row>
    <row r="531" spans="1:15" x14ac:dyDescent="0.35">
      <c r="A531" t="s">
        <v>589</v>
      </c>
      <c r="B531" s="1">
        <v>45385</v>
      </c>
      <c r="C531" t="s">
        <v>46</v>
      </c>
      <c r="D531" t="s">
        <v>47</v>
      </c>
      <c r="E531" t="s">
        <v>22</v>
      </c>
      <c r="F531" t="s">
        <v>42</v>
      </c>
      <c r="G531" t="s">
        <v>43</v>
      </c>
      <c r="H531">
        <v>1</v>
      </c>
      <c r="I531">
        <v>25969.56</v>
      </c>
      <c r="J531" s="2">
        <v>0</v>
      </c>
      <c r="K531" t="s">
        <v>25</v>
      </c>
      <c r="L531">
        <v>25969.56</v>
      </c>
      <c r="M531" t="str">
        <f>TEXT(Table1[[#This Row],[OrderDate]], "mmm")</f>
        <v>Apr</v>
      </c>
      <c r="N531" t="str">
        <f>IF(Table1[[#This Row],[TotalSales]]&gt;50000,"High",IF(L531&gt;20000,"Medium","Low"))</f>
        <v>Medium</v>
      </c>
      <c r="O531">
        <f>Table1[[#This Row],[TotalSales]]/Table1[[#This Row],[Quantity]]</f>
        <v>25969.56</v>
      </c>
    </row>
    <row r="532" spans="1:15" x14ac:dyDescent="0.35">
      <c r="A532" t="s">
        <v>590</v>
      </c>
      <c r="B532" s="1">
        <v>45349</v>
      </c>
      <c r="C532" t="s">
        <v>40</v>
      </c>
      <c r="D532" t="s">
        <v>41</v>
      </c>
      <c r="E532" t="s">
        <v>28</v>
      </c>
      <c r="F532" t="s">
        <v>104</v>
      </c>
      <c r="G532" t="s">
        <v>24</v>
      </c>
      <c r="H532">
        <v>14</v>
      </c>
      <c r="I532">
        <v>39643.07</v>
      </c>
      <c r="J532" s="2">
        <v>0</v>
      </c>
      <c r="K532" t="s">
        <v>44</v>
      </c>
      <c r="L532">
        <v>555002.98</v>
      </c>
      <c r="M532" t="str">
        <f>TEXT(Table1[[#This Row],[OrderDate]], "mmm")</f>
        <v>Feb</v>
      </c>
      <c r="N532" t="str">
        <f>IF(Table1[[#This Row],[TotalSales]]&gt;50000,"High",IF(L532&gt;20000,"Medium","Low"))</f>
        <v>High</v>
      </c>
      <c r="O532">
        <f>Table1[[#This Row],[TotalSales]]/Table1[[#This Row],[Quantity]]</f>
        <v>39643.07</v>
      </c>
    </row>
    <row r="533" spans="1:15" x14ac:dyDescent="0.35">
      <c r="A533" t="s">
        <v>591</v>
      </c>
      <c r="B533" s="1">
        <v>45331</v>
      </c>
      <c r="C533" t="s">
        <v>20</v>
      </c>
      <c r="D533" t="s">
        <v>97</v>
      </c>
      <c r="E533" t="s">
        <v>22</v>
      </c>
      <c r="F533" t="s">
        <v>23</v>
      </c>
      <c r="G533" t="s">
        <v>17</v>
      </c>
      <c r="H533">
        <v>4</v>
      </c>
      <c r="I533">
        <v>42300.29</v>
      </c>
      <c r="J533" s="2">
        <v>0.15</v>
      </c>
      <c r="K533" t="s">
        <v>25</v>
      </c>
      <c r="L533">
        <v>143820.99</v>
      </c>
      <c r="M533" t="str">
        <f>TEXT(Table1[[#This Row],[OrderDate]], "mmm")</f>
        <v>Feb</v>
      </c>
      <c r="N533" t="str">
        <f>IF(Table1[[#This Row],[TotalSales]]&gt;50000,"High",IF(L533&gt;20000,"Medium","Low"))</f>
        <v>High</v>
      </c>
      <c r="O533">
        <f>Table1[[#This Row],[TotalSales]]/Table1[[#This Row],[Quantity]]</f>
        <v>35955.247499999998</v>
      </c>
    </row>
    <row r="534" spans="1:15" x14ac:dyDescent="0.35">
      <c r="A534" t="s">
        <v>592</v>
      </c>
      <c r="B534" s="1">
        <v>45306</v>
      </c>
      <c r="C534" t="s">
        <v>13</v>
      </c>
      <c r="D534" t="s">
        <v>14</v>
      </c>
      <c r="E534" t="s">
        <v>28</v>
      </c>
      <c r="F534" t="s">
        <v>76</v>
      </c>
      <c r="G534" t="s">
        <v>43</v>
      </c>
      <c r="H534">
        <v>2</v>
      </c>
      <c r="I534">
        <v>25420.78</v>
      </c>
      <c r="J534" s="2">
        <v>0.15</v>
      </c>
      <c r="K534" t="s">
        <v>44</v>
      </c>
      <c r="L534">
        <v>43215.33</v>
      </c>
      <c r="M534" t="str">
        <f>TEXT(Table1[[#This Row],[OrderDate]], "mmm")</f>
        <v>Jan</v>
      </c>
      <c r="N534" t="str">
        <f>IF(Table1[[#This Row],[TotalSales]]&gt;50000,"High",IF(L534&gt;20000,"Medium","Low"))</f>
        <v>Medium</v>
      </c>
      <c r="O534">
        <f>Table1[[#This Row],[TotalSales]]/Table1[[#This Row],[Quantity]]</f>
        <v>21607.665000000001</v>
      </c>
    </row>
    <row r="535" spans="1:15" x14ac:dyDescent="0.35">
      <c r="A535" t="s">
        <v>593</v>
      </c>
      <c r="B535" s="1">
        <v>45583</v>
      </c>
      <c r="C535" t="s">
        <v>13</v>
      </c>
      <c r="D535" t="s">
        <v>33</v>
      </c>
      <c r="E535" t="s">
        <v>15</v>
      </c>
      <c r="F535" t="s">
        <v>38</v>
      </c>
      <c r="G535" t="s">
        <v>66</v>
      </c>
      <c r="H535">
        <v>3</v>
      </c>
      <c r="I535">
        <v>11782.9</v>
      </c>
      <c r="J535" s="2">
        <v>0</v>
      </c>
      <c r="K535" t="s">
        <v>31</v>
      </c>
      <c r="L535">
        <v>35348.699999999997</v>
      </c>
      <c r="M535" t="str">
        <f>TEXT(Table1[[#This Row],[OrderDate]], "mmm")</f>
        <v>Oct</v>
      </c>
      <c r="N535" t="str">
        <f>IF(Table1[[#This Row],[TotalSales]]&gt;50000,"High",IF(L535&gt;20000,"Medium","Low"))</f>
        <v>Medium</v>
      </c>
      <c r="O535">
        <f>Table1[[#This Row],[TotalSales]]/Table1[[#This Row],[Quantity]]</f>
        <v>11782.9</v>
      </c>
    </row>
    <row r="536" spans="1:15" x14ac:dyDescent="0.35">
      <c r="A536" t="s">
        <v>594</v>
      </c>
      <c r="B536" s="1">
        <v>45496</v>
      </c>
      <c r="C536" t="s">
        <v>20</v>
      </c>
      <c r="D536" t="s">
        <v>27</v>
      </c>
      <c r="E536" t="s">
        <v>34</v>
      </c>
      <c r="F536" t="s">
        <v>48</v>
      </c>
      <c r="G536" t="s">
        <v>24</v>
      </c>
      <c r="H536">
        <v>2</v>
      </c>
      <c r="I536">
        <v>1324.06</v>
      </c>
      <c r="J536" s="2">
        <v>0</v>
      </c>
      <c r="K536" t="s">
        <v>31</v>
      </c>
      <c r="L536">
        <v>2648.12</v>
      </c>
      <c r="M536" t="str">
        <f>TEXT(Table1[[#This Row],[OrderDate]], "mmm")</f>
        <v>Jul</v>
      </c>
      <c r="N536" t="str">
        <f>IF(Table1[[#This Row],[TotalSales]]&gt;50000,"High",IF(L536&gt;20000,"Medium","Low"))</f>
        <v>Low</v>
      </c>
      <c r="O536">
        <f>Table1[[#This Row],[TotalSales]]/Table1[[#This Row],[Quantity]]</f>
        <v>1324.06</v>
      </c>
    </row>
    <row r="537" spans="1:15" x14ac:dyDescent="0.35">
      <c r="A537" t="s">
        <v>595</v>
      </c>
      <c r="B537" s="1">
        <v>45450</v>
      </c>
      <c r="C537" t="s">
        <v>40</v>
      </c>
      <c r="D537" t="s">
        <v>51</v>
      </c>
      <c r="E537" t="s">
        <v>28</v>
      </c>
      <c r="F537" t="s">
        <v>104</v>
      </c>
      <c r="G537" t="s">
        <v>30</v>
      </c>
      <c r="H537">
        <v>15</v>
      </c>
      <c r="I537">
        <v>37735.910000000003</v>
      </c>
      <c r="J537" s="2">
        <v>0</v>
      </c>
      <c r="K537" t="s">
        <v>25</v>
      </c>
      <c r="L537">
        <v>566038.65</v>
      </c>
      <c r="M537" t="str">
        <f>TEXT(Table1[[#This Row],[OrderDate]], "mmm")</f>
        <v>Jun</v>
      </c>
      <c r="N537" t="str">
        <f>IF(Table1[[#This Row],[TotalSales]]&gt;50000,"High",IF(L537&gt;20000,"Medium","Low"))</f>
        <v>High</v>
      </c>
      <c r="O537">
        <f>Table1[[#This Row],[TotalSales]]/Table1[[#This Row],[Quantity]]</f>
        <v>37735.910000000003</v>
      </c>
    </row>
    <row r="538" spans="1:15" x14ac:dyDescent="0.35">
      <c r="A538" t="s">
        <v>596</v>
      </c>
      <c r="B538" s="1">
        <v>45508</v>
      </c>
      <c r="C538" t="s">
        <v>40</v>
      </c>
      <c r="D538" t="s">
        <v>55</v>
      </c>
      <c r="E538" t="s">
        <v>34</v>
      </c>
      <c r="F538" t="s">
        <v>48</v>
      </c>
      <c r="G538" t="s">
        <v>30</v>
      </c>
      <c r="H538">
        <v>13</v>
      </c>
      <c r="I538">
        <v>20379.330000000002</v>
      </c>
      <c r="J538" s="2">
        <v>0</v>
      </c>
      <c r="K538" t="s">
        <v>18</v>
      </c>
      <c r="L538">
        <v>264931.28999999998</v>
      </c>
      <c r="M538" t="str">
        <f>TEXT(Table1[[#This Row],[OrderDate]], "mmm")</f>
        <v>Aug</v>
      </c>
      <c r="N538" t="str">
        <f>IF(Table1[[#This Row],[TotalSales]]&gt;50000,"High",IF(L538&gt;20000,"Medium","Low"))</f>
        <v>High</v>
      </c>
      <c r="O538">
        <f>Table1[[#This Row],[TotalSales]]/Table1[[#This Row],[Quantity]]</f>
        <v>20379.329999999998</v>
      </c>
    </row>
    <row r="539" spans="1:15" x14ac:dyDescent="0.35">
      <c r="A539" t="s">
        <v>597</v>
      </c>
      <c r="B539" s="1">
        <v>45531</v>
      </c>
      <c r="C539" t="s">
        <v>46</v>
      </c>
      <c r="D539" t="s">
        <v>79</v>
      </c>
      <c r="E539" t="s">
        <v>22</v>
      </c>
      <c r="F539" t="s">
        <v>82</v>
      </c>
      <c r="G539" t="s">
        <v>69</v>
      </c>
      <c r="H539">
        <v>7</v>
      </c>
      <c r="I539">
        <v>4539.24</v>
      </c>
      <c r="J539" s="2">
        <v>0.2</v>
      </c>
      <c r="K539" t="s">
        <v>25</v>
      </c>
      <c r="L539">
        <v>25419.74</v>
      </c>
      <c r="M539" t="str">
        <f>TEXT(Table1[[#This Row],[OrderDate]], "mmm")</f>
        <v>Aug</v>
      </c>
      <c r="N539" t="str">
        <f>IF(Table1[[#This Row],[TotalSales]]&gt;50000,"High",IF(L539&gt;20000,"Medium","Low"))</f>
        <v>Medium</v>
      </c>
      <c r="O539">
        <f>Table1[[#This Row],[TotalSales]]/Table1[[#This Row],[Quantity]]</f>
        <v>3631.3914285714286</v>
      </c>
    </row>
    <row r="540" spans="1:15" x14ac:dyDescent="0.35">
      <c r="A540" t="s">
        <v>598</v>
      </c>
      <c r="B540" s="1">
        <v>45554</v>
      </c>
      <c r="C540" t="s">
        <v>46</v>
      </c>
      <c r="D540" t="s">
        <v>47</v>
      </c>
      <c r="E540" t="s">
        <v>28</v>
      </c>
      <c r="F540" t="s">
        <v>76</v>
      </c>
      <c r="G540" t="s">
        <v>49</v>
      </c>
      <c r="H540">
        <v>2</v>
      </c>
      <c r="I540">
        <v>28183.71</v>
      </c>
      <c r="J540" s="2">
        <v>0.05</v>
      </c>
      <c r="K540" t="s">
        <v>31</v>
      </c>
      <c r="L540">
        <v>53549.05</v>
      </c>
      <c r="M540" t="str">
        <f>TEXT(Table1[[#This Row],[OrderDate]], "mmm")</f>
        <v>Sep</v>
      </c>
      <c r="N540" t="str">
        <f>IF(Table1[[#This Row],[TotalSales]]&gt;50000,"High",IF(L540&gt;20000,"Medium","Low"))</f>
        <v>High</v>
      </c>
      <c r="O540">
        <f>Table1[[#This Row],[TotalSales]]/Table1[[#This Row],[Quantity]]</f>
        <v>26774.525000000001</v>
      </c>
    </row>
    <row r="541" spans="1:15" x14ac:dyDescent="0.35">
      <c r="A541" t="s">
        <v>599</v>
      </c>
      <c r="B541" s="1">
        <v>45385</v>
      </c>
      <c r="C541" t="s">
        <v>40</v>
      </c>
      <c r="D541" t="s">
        <v>55</v>
      </c>
      <c r="E541" t="s">
        <v>15</v>
      </c>
      <c r="F541" t="s">
        <v>16</v>
      </c>
      <c r="G541" t="s">
        <v>30</v>
      </c>
      <c r="H541">
        <v>14</v>
      </c>
      <c r="I541">
        <v>21734.06</v>
      </c>
      <c r="J541" s="2">
        <v>0</v>
      </c>
      <c r="K541" t="s">
        <v>44</v>
      </c>
      <c r="L541">
        <v>304276.84000000003</v>
      </c>
      <c r="M541" t="str">
        <f>TEXT(Table1[[#This Row],[OrderDate]], "mmm")</f>
        <v>Apr</v>
      </c>
      <c r="N541" t="str">
        <f>IF(Table1[[#This Row],[TotalSales]]&gt;50000,"High",IF(L541&gt;20000,"Medium","Low"))</f>
        <v>High</v>
      </c>
      <c r="O541">
        <f>Table1[[#This Row],[TotalSales]]/Table1[[#This Row],[Quantity]]</f>
        <v>21734.06</v>
      </c>
    </row>
    <row r="542" spans="1:15" x14ac:dyDescent="0.35">
      <c r="A542" t="s">
        <v>600</v>
      </c>
      <c r="B542" s="1">
        <v>45332</v>
      </c>
      <c r="C542" t="s">
        <v>20</v>
      </c>
      <c r="D542" t="s">
        <v>27</v>
      </c>
      <c r="E542" t="s">
        <v>28</v>
      </c>
      <c r="F542" t="s">
        <v>125</v>
      </c>
      <c r="G542" t="s">
        <v>17</v>
      </c>
      <c r="H542">
        <v>12</v>
      </c>
      <c r="I542">
        <v>54023.8</v>
      </c>
      <c r="J542" s="2">
        <v>0</v>
      </c>
      <c r="K542" t="s">
        <v>31</v>
      </c>
      <c r="L542">
        <f>(Table1[[#This Row],[Quantity]]*Table1[[#This Row],[UnitPrice]])-(Table1[[#This Row],[Quantity]]*Table1[[#This Row],[UnitPrice]])*Table1[[#This Row],[Discount%]]</f>
        <v>648285.60000000009</v>
      </c>
      <c r="M542" t="str">
        <f>TEXT(Table1[[#This Row],[OrderDate]], "mmm")</f>
        <v>Feb</v>
      </c>
      <c r="N542" t="str">
        <f>IF(Table1[[#This Row],[TotalSales]]&gt;50000,"High",IF(L542&gt;20000,"Medium","Low"))</f>
        <v>High</v>
      </c>
      <c r="O542">
        <f>Table1[[#This Row],[TotalSales]]/Table1[[#This Row],[Quantity]]</f>
        <v>54023.80000000001</v>
      </c>
    </row>
    <row r="543" spans="1:15" x14ac:dyDescent="0.35">
      <c r="A543" t="s">
        <v>601</v>
      </c>
      <c r="B543" s="1">
        <v>45499</v>
      </c>
      <c r="C543" t="s">
        <v>40</v>
      </c>
      <c r="D543" t="s">
        <v>51</v>
      </c>
      <c r="E543" t="s">
        <v>22</v>
      </c>
      <c r="F543" t="s">
        <v>82</v>
      </c>
      <c r="G543" t="s">
        <v>83</v>
      </c>
      <c r="H543">
        <v>14</v>
      </c>
      <c r="I543">
        <v>36242.9</v>
      </c>
      <c r="J543" s="2">
        <v>0.15</v>
      </c>
      <c r="K543" t="s">
        <v>25</v>
      </c>
      <c r="L543">
        <v>431290.51</v>
      </c>
      <c r="M543" t="str">
        <f>TEXT(Table1[[#This Row],[OrderDate]], "mmm")</f>
        <v>Jul</v>
      </c>
      <c r="N543" t="str">
        <f>IF(Table1[[#This Row],[TotalSales]]&gt;50000,"High",IF(L543&gt;20000,"Medium","Low"))</f>
        <v>High</v>
      </c>
      <c r="O543">
        <f>Table1[[#This Row],[TotalSales]]/Table1[[#This Row],[Quantity]]</f>
        <v>30806.465</v>
      </c>
    </row>
    <row r="544" spans="1:15" x14ac:dyDescent="0.35">
      <c r="A544" t="s">
        <v>602</v>
      </c>
      <c r="B544" s="1">
        <v>45299</v>
      </c>
      <c r="C544" t="s">
        <v>20</v>
      </c>
      <c r="D544" t="s">
        <v>27</v>
      </c>
      <c r="E544" t="s">
        <v>28</v>
      </c>
      <c r="F544" t="s">
        <v>76</v>
      </c>
      <c r="G544" t="s">
        <v>24</v>
      </c>
      <c r="H544">
        <v>4</v>
      </c>
      <c r="I544">
        <v>6332.81</v>
      </c>
      <c r="J544" s="2">
        <v>0</v>
      </c>
      <c r="K544" t="s">
        <v>18</v>
      </c>
      <c r="L544">
        <v>25331.24</v>
      </c>
      <c r="M544" t="str">
        <f>TEXT(Table1[[#This Row],[OrderDate]], "mmm")</f>
        <v>Jan</v>
      </c>
      <c r="N544" t="str">
        <f>IF(Table1[[#This Row],[TotalSales]]&gt;50000,"High",IF(L544&gt;20000,"Medium","Low"))</f>
        <v>Medium</v>
      </c>
      <c r="O544">
        <f>Table1[[#This Row],[TotalSales]]/Table1[[#This Row],[Quantity]]</f>
        <v>6332.81</v>
      </c>
    </row>
    <row r="545" spans="1:15" x14ac:dyDescent="0.35">
      <c r="A545" t="s">
        <v>603</v>
      </c>
      <c r="B545" s="1">
        <v>45529</v>
      </c>
      <c r="C545" t="s">
        <v>46</v>
      </c>
      <c r="D545" t="s">
        <v>79</v>
      </c>
      <c r="E545" t="s">
        <v>34</v>
      </c>
      <c r="F545" t="s">
        <v>61</v>
      </c>
      <c r="G545" t="s">
        <v>30</v>
      </c>
      <c r="H545">
        <v>3</v>
      </c>
      <c r="I545">
        <v>26174.6</v>
      </c>
      <c r="J545" s="2">
        <v>0</v>
      </c>
      <c r="K545" t="s">
        <v>25</v>
      </c>
      <c r="L545">
        <v>78523.8</v>
      </c>
      <c r="M545" t="str">
        <f>TEXT(Table1[[#This Row],[OrderDate]], "mmm")</f>
        <v>Aug</v>
      </c>
      <c r="N545" t="str">
        <f>IF(Table1[[#This Row],[TotalSales]]&gt;50000,"High",IF(L545&gt;20000,"Medium","Low"))</f>
        <v>High</v>
      </c>
      <c r="O545">
        <f>Table1[[#This Row],[TotalSales]]/Table1[[#This Row],[Quantity]]</f>
        <v>26174.600000000002</v>
      </c>
    </row>
    <row r="546" spans="1:15" x14ac:dyDescent="0.35">
      <c r="A546" t="s">
        <v>604</v>
      </c>
      <c r="B546" s="1">
        <v>45442</v>
      </c>
      <c r="C546" t="s">
        <v>20</v>
      </c>
      <c r="D546" t="s">
        <v>27</v>
      </c>
      <c r="E546" t="s">
        <v>15</v>
      </c>
      <c r="F546" t="s">
        <v>38</v>
      </c>
      <c r="G546" t="s">
        <v>66</v>
      </c>
      <c r="H546">
        <v>10</v>
      </c>
      <c r="I546">
        <v>45653.9</v>
      </c>
      <c r="J546" s="2">
        <v>0.05</v>
      </c>
      <c r="K546" t="s">
        <v>25</v>
      </c>
      <c r="L546">
        <v>433712.05</v>
      </c>
      <c r="M546" t="str">
        <f>TEXT(Table1[[#This Row],[OrderDate]], "mmm")</f>
        <v>May</v>
      </c>
      <c r="N546" t="str">
        <f>IF(Table1[[#This Row],[TotalSales]]&gt;50000,"High",IF(L546&gt;20000,"Medium","Low"))</f>
        <v>High</v>
      </c>
      <c r="O546">
        <f>Table1[[#This Row],[TotalSales]]/Table1[[#This Row],[Quantity]]</f>
        <v>43371.205000000002</v>
      </c>
    </row>
    <row r="547" spans="1:15" x14ac:dyDescent="0.35">
      <c r="A547" t="s">
        <v>605</v>
      </c>
      <c r="B547" s="1">
        <v>45540</v>
      </c>
      <c r="C547" t="s">
        <v>40</v>
      </c>
      <c r="D547" t="s">
        <v>41</v>
      </c>
      <c r="E547" t="s">
        <v>28</v>
      </c>
      <c r="F547" t="s">
        <v>76</v>
      </c>
      <c r="G547" t="s">
        <v>43</v>
      </c>
      <c r="H547">
        <v>9</v>
      </c>
      <c r="I547">
        <v>32588.95</v>
      </c>
      <c r="J547" s="2">
        <v>0.1</v>
      </c>
      <c r="K547" t="s">
        <v>31</v>
      </c>
      <c r="L547">
        <v>263970.49</v>
      </c>
      <c r="M547" t="str">
        <f>TEXT(Table1[[#This Row],[OrderDate]], "mmm")</f>
        <v>Sep</v>
      </c>
      <c r="N547" t="str">
        <f>IF(Table1[[#This Row],[TotalSales]]&gt;50000,"High",IF(L547&gt;20000,"Medium","Low"))</f>
        <v>High</v>
      </c>
      <c r="O547">
        <f>Table1[[#This Row],[TotalSales]]/Table1[[#This Row],[Quantity]]</f>
        <v>29330.054444444442</v>
      </c>
    </row>
    <row r="548" spans="1:15" x14ac:dyDescent="0.35">
      <c r="A548" t="s">
        <v>606</v>
      </c>
      <c r="B548" s="1">
        <v>45623</v>
      </c>
      <c r="C548" t="s">
        <v>46</v>
      </c>
      <c r="D548" t="s">
        <v>79</v>
      </c>
      <c r="E548" t="s">
        <v>34</v>
      </c>
      <c r="F548" t="s">
        <v>48</v>
      </c>
      <c r="G548" t="s">
        <v>43</v>
      </c>
      <c r="H548">
        <v>7</v>
      </c>
      <c r="I548">
        <v>48924.9</v>
      </c>
      <c r="J548" s="2">
        <v>0</v>
      </c>
      <c r="K548" t="s">
        <v>18</v>
      </c>
      <c r="L548">
        <v>342474.3</v>
      </c>
      <c r="M548" t="str">
        <f>TEXT(Table1[[#This Row],[OrderDate]], "mmm")</f>
        <v>Nov</v>
      </c>
      <c r="N548" t="str">
        <f>IF(Table1[[#This Row],[TotalSales]]&gt;50000,"High",IF(L548&gt;20000,"Medium","Low"))</f>
        <v>High</v>
      </c>
      <c r="O548">
        <f>Table1[[#This Row],[TotalSales]]/Table1[[#This Row],[Quantity]]</f>
        <v>48924.9</v>
      </c>
    </row>
    <row r="549" spans="1:15" x14ac:dyDescent="0.35">
      <c r="A549" t="s">
        <v>607</v>
      </c>
      <c r="B549" s="1">
        <v>45516</v>
      </c>
      <c r="C549" t="s">
        <v>40</v>
      </c>
      <c r="D549" t="s">
        <v>41</v>
      </c>
      <c r="E549" t="s">
        <v>28</v>
      </c>
      <c r="F549" t="s">
        <v>125</v>
      </c>
      <c r="G549" t="s">
        <v>30</v>
      </c>
      <c r="H549">
        <v>4</v>
      </c>
      <c r="I549">
        <v>28018.45</v>
      </c>
      <c r="J549" s="2">
        <v>0.1</v>
      </c>
      <c r="K549" t="s">
        <v>18</v>
      </c>
      <c r="L549">
        <v>100866.42</v>
      </c>
      <c r="M549" t="str">
        <f>TEXT(Table1[[#This Row],[OrderDate]], "mmm")</f>
        <v>Aug</v>
      </c>
      <c r="N549" t="str">
        <f>IF(Table1[[#This Row],[TotalSales]]&gt;50000,"High",IF(L549&gt;20000,"Medium","Low"))</f>
        <v>High</v>
      </c>
      <c r="O549">
        <f>Table1[[#This Row],[TotalSales]]/Table1[[#This Row],[Quantity]]</f>
        <v>25216.605</v>
      </c>
    </row>
    <row r="550" spans="1:15" x14ac:dyDescent="0.35">
      <c r="A550" t="s">
        <v>608</v>
      </c>
      <c r="B550" s="1">
        <v>45626</v>
      </c>
      <c r="C550" t="s">
        <v>40</v>
      </c>
      <c r="D550" t="s">
        <v>51</v>
      </c>
      <c r="E550" t="s">
        <v>28</v>
      </c>
      <c r="F550" t="s">
        <v>104</v>
      </c>
      <c r="G550" t="s">
        <v>17</v>
      </c>
      <c r="H550">
        <v>12</v>
      </c>
      <c r="I550">
        <v>19942.009999999998</v>
      </c>
      <c r="J550" s="2">
        <v>0.05</v>
      </c>
      <c r="K550" t="s">
        <v>25</v>
      </c>
      <c r="L550">
        <v>227338.91</v>
      </c>
      <c r="M550" t="str">
        <f>TEXT(Table1[[#This Row],[OrderDate]], "mmm")</f>
        <v>Nov</v>
      </c>
      <c r="N550" t="str">
        <f>IF(Table1[[#This Row],[TotalSales]]&gt;50000,"High",IF(L550&gt;20000,"Medium","Low"))</f>
        <v>High</v>
      </c>
      <c r="O550">
        <f>Table1[[#This Row],[TotalSales]]/Table1[[#This Row],[Quantity]]</f>
        <v>18944.909166666668</v>
      </c>
    </row>
    <row r="551" spans="1:15" x14ac:dyDescent="0.35">
      <c r="A551" t="s">
        <v>609</v>
      </c>
      <c r="B551" s="1">
        <v>45602</v>
      </c>
      <c r="C551" t="s">
        <v>20</v>
      </c>
      <c r="D551" t="s">
        <v>27</v>
      </c>
      <c r="E551" t="s">
        <v>22</v>
      </c>
      <c r="F551" t="s">
        <v>42</v>
      </c>
      <c r="G551" t="s">
        <v>43</v>
      </c>
      <c r="H551">
        <v>8</v>
      </c>
      <c r="I551">
        <v>5729.52</v>
      </c>
      <c r="J551" s="2">
        <v>0.05</v>
      </c>
      <c r="K551" t="s">
        <v>44</v>
      </c>
      <c r="L551">
        <v>43544.35</v>
      </c>
      <c r="M551" t="str">
        <f>TEXT(Table1[[#This Row],[OrderDate]], "mmm")</f>
        <v>Nov</v>
      </c>
      <c r="N551" t="str">
        <f>IF(Table1[[#This Row],[TotalSales]]&gt;50000,"High",IF(L551&gt;20000,"Medium","Low"))</f>
        <v>Medium</v>
      </c>
      <c r="O551">
        <f>Table1[[#This Row],[TotalSales]]/Table1[[#This Row],[Quantity]]</f>
        <v>5443.0437499999998</v>
      </c>
    </row>
    <row r="552" spans="1:15" x14ac:dyDescent="0.35">
      <c r="A552" t="s">
        <v>610</v>
      </c>
      <c r="B552" s="1">
        <v>45549</v>
      </c>
      <c r="C552" t="s">
        <v>20</v>
      </c>
      <c r="D552" t="s">
        <v>27</v>
      </c>
      <c r="E552" t="s">
        <v>28</v>
      </c>
      <c r="F552" t="s">
        <v>29</v>
      </c>
      <c r="G552" t="s">
        <v>49</v>
      </c>
      <c r="H552">
        <v>1</v>
      </c>
      <c r="I552">
        <v>44413.49</v>
      </c>
      <c r="J552" s="2">
        <v>0</v>
      </c>
      <c r="K552" t="s">
        <v>44</v>
      </c>
      <c r="L552">
        <v>44413.49</v>
      </c>
      <c r="M552" t="str">
        <f>TEXT(Table1[[#This Row],[OrderDate]], "mmm")</f>
        <v>Sep</v>
      </c>
      <c r="N552" t="str">
        <f>IF(Table1[[#This Row],[TotalSales]]&gt;50000,"High",IF(L552&gt;20000,"Medium","Low"))</f>
        <v>Medium</v>
      </c>
      <c r="O552">
        <f>Table1[[#This Row],[TotalSales]]/Table1[[#This Row],[Quantity]]</f>
        <v>44413.49</v>
      </c>
    </row>
    <row r="553" spans="1:15" x14ac:dyDescent="0.35">
      <c r="A553" t="s">
        <v>611</v>
      </c>
      <c r="B553" s="1">
        <v>45645</v>
      </c>
      <c r="C553" t="s">
        <v>13</v>
      </c>
      <c r="D553" t="s">
        <v>14</v>
      </c>
      <c r="E553" t="s">
        <v>28</v>
      </c>
      <c r="F553" t="s">
        <v>76</v>
      </c>
      <c r="G553" t="s">
        <v>17</v>
      </c>
      <c r="H553">
        <v>14</v>
      </c>
      <c r="I553">
        <v>28443.23</v>
      </c>
      <c r="J553" s="2">
        <v>0.15</v>
      </c>
      <c r="K553" t="s">
        <v>31</v>
      </c>
      <c r="L553">
        <v>338474.44</v>
      </c>
      <c r="M553" t="str">
        <f>TEXT(Table1[[#This Row],[OrderDate]], "mmm")</f>
        <v>Dec</v>
      </c>
      <c r="N553" t="str">
        <f>IF(Table1[[#This Row],[TotalSales]]&gt;50000,"High",IF(L553&gt;20000,"Medium","Low"))</f>
        <v>High</v>
      </c>
      <c r="O553">
        <f>Table1[[#This Row],[TotalSales]]/Table1[[#This Row],[Quantity]]</f>
        <v>24176.745714285713</v>
      </c>
    </row>
    <row r="554" spans="1:15" x14ac:dyDescent="0.35">
      <c r="A554" t="s">
        <v>612</v>
      </c>
      <c r="B554" s="1">
        <v>45614</v>
      </c>
      <c r="C554" t="s">
        <v>46</v>
      </c>
      <c r="D554" t="s">
        <v>47</v>
      </c>
      <c r="E554" t="s">
        <v>15</v>
      </c>
      <c r="F554" t="s">
        <v>16</v>
      </c>
      <c r="G554" t="s">
        <v>17</v>
      </c>
      <c r="H554">
        <v>2</v>
      </c>
      <c r="I554">
        <v>47923.65</v>
      </c>
      <c r="J554" s="2">
        <v>0</v>
      </c>
      <c r="K554" t="s">
        <v>18</v>
      </c>
      <c r="L554">
        <v>95847.3</v>
      </c>
      <c r="M554" t="str">
        <f>TEXT(Table1[[#This Row],[OrderDate]], "mmm")</f>
        <v>Nov</v>
      </c>
      <c r="N554" t="str">
        <f>IF(Table1[[#This Row],[TotalSales]]&gt;50000,"High",IF(L554&gt;20000,"Medium","Low"))</f>
        <v>High</v>
      </c>
      <c r="O554">
        <f>Table1[[#This Row],[TotalSales]]/Table1[[#This Row],[Quantity]]</f>
        <v>47923.65</v>
      </c>
    </row>
    <row r="555" spans="1:15" x14ac:dyDescent="0.35">
      <c r="A555" t="s">
        <v>613</v>
      </c>
      <c r="B555" s="1">
        <v>45395</v>
      </c>
      <c r="C555" t="s">
        <v>20</v>
      </c>
      <c r="D555" t="s">
        <v>27</v>
      </c>
      <c r="E555" t="s">
        <v>28</v>
      </c>
      <c r="F555" t="s">
        <v>29</v>
      </c>
      <c r="G555" t="s">
        <v>24</v>
      </c>
      <c r="H555">
        <v>8</v>
      </c>
      <c r="I555">
        <v>53336.09</v>
      </c>
      <c r="J555" s="2">
        <v>0.2</v>
      </c>
      <c r="K555" t="s">
        <v>31</v>
      </c>
      <c r="L555">
        <v>341350.98</v>
      </c>
      <c r="M555" t="str">
        <f>TEXT(Table1[[#This Row],[OrderDate]], "mmm")</f>
        <v>Apr</v>
      </c>
      <c r="N555" t="str">
        <f>IF(Table1[[#This Row],[TotalSales]]&gt;50000,"High",IF(L555&gt;20000,"Medium","Low"))</f>
        <v>High</v>
      </c>
      <c r="O555">
        <f>Table1[[#This Row],[TotalSales]]/Table1[[#This Row],[Quantity]]</f>
        <v>42668.872499999998</v>
      </c>
    </row>
    <row r="556" spans="1:15" x14ac:dyDescent="0.35">
      <c r="A556" t="s">
        <v>614</v>
      </c>
      <c r="B556" s="1">
        <v>45614</v>
      </c>
      <c r="C556" t="s">
        <v>40</v>
      </c>
      <c r="D556" t="s">
        <v>41</v>
      </c>
      <c r="E556" t="s">
        <v>28</v>
      </c>
      <c r="F556" t="s">
        <v>29</v>
      </c>
      <c r="G556" t="s">
        <v>66</v>
      </c>
      <c r="H556">
        <v>11</v>
      </c>
      <c r="I556">
        <v>13650.73</v>
      </c>
      <c r="J556" s="2">
        <v>0.2</v>
      </c>
      <c r="K556" t="s">
        <v>25</v>
      </c>
      <c r="L556">
        <v>120126.42</v>
      </c>
      <c r="M556" t="str">
        <f>TEXT(Table1[[#This Row],[OrderDate]], "mmm")</f>
        <v>Nov</v>
      </c>
      <c r="N556" t="str">
        <f>IF(Table1[[#This Row],[TotalSales]]&gt;50000,"High",IF(L556&gt;20000,"Medium","Low"))</f>
        <v>High</v>
      </c>
      <c r="O556">
        <f>Table1[[#This Row],[TotalSales]]/Table1[[#This Row],[Quantity]]</f>
        <v>10920.583636363635</v>
      </c>
    </row>
    <row r="557" spans="1:15" x14ac:dyDescent="0.35">
      <c r="A557" t="s">
        <v>615</v>
      </c>
      <c r="B557" s="1">
        <v>45366</v>
      </c>
      <c r="C557" t="s">
        <v>46</v>
      </c>
      <c r="D557" t="s">
        <v>79</v>
      </c>
      <c r="E557" t="s">
        <v>34</v>
      </c>
      <c r="F557" t="s">
        <v>48</v>
      </c>
      <c r="G557" t="s">
        <v>24</v>
      </c>
      <c r="H557">
        <v>13</v>
      </c>
      <c r="I557">
        <v>745.19</v>
      </c>
      <c r="J557" s="2">
        <v>0.2</v>
      </c>
      <c r="K557" t="s">
        <v>25</v>
      </c>
      <c r="L557">
        <v>7749.98</v>
      </c>
      <c r="M557" t="str">
        <f>TEXT(Table1[[#This Row],[OrderDate]], "mmm")</f>
        <v>Mar</v>
      </c>
      <c r="N557" t="str">
        <f>IF(Table1[[#This Row],[TotalSales]]&gt;50000,"High",IF(L557&gt;20000,"Medium","Low"))</f>
        <v>Low</v>
      </c>
      <c r="O557">
        <f>Table1[[#This Row],[TotalSales]]/Table1[[#This Row],[Quantity]]</f>
        <v>596.15230769230766</v>
      </c>
    </row>
    <row r="558" spans="1:15" x14ac:dyDescent="0.35">
      <c r="A558" t="s">
        <v>616</v>
      </c>
      <c r="B558" s="1">
        <v>45620</v>
      </c>
      <c r="C558" t="s">
        <v>46</v>
      </c>
      <c r="D558" t="s">
        <v>71</v>
      </c>
      <c r="E558" t="s">
        <v>15</v>
      </c>
      <c r="F558" t="s">
        <v>38</v>
      </c>
      <c r="G558" t="s">
        <v>49</v>
      </c>
      <c r="H558">
        <v>3</v>
      </c>
      <c r="I558">
        <v>49657.61</v>
      </c>
      <c r="J558" s="2">
        <v>0</v>
      </c>
      <c r="K558" t="s">
        <v>25</v>
      </c>
      <c r="L558">
        <v>148972.82999999999</v>
      </c>
      <c r="M558" t="str">
        <f>TEXT(Table1[[#This Row],[OrderDate]], "mmm")</f>
        <v>Nov</v>
      </c>
      <c r="N558" t="str">
        <f>IF(Table1[[#This Row],[TotalSales]]&gt;50000,"High",IF(L558&gt;20000,"Medium","Low"))</f>
        <v>High</v>
      </c>
      <c r="O558">
        <f>Table1[[#This Row],[TotalSales]]/Table1[[#This Row],[Quantity]]</f>
        <v>49657.609999999993</v>
      </c>
    </row>
    <row r="559" spans="1:15" x14ac:dyDescent="0.35">
      <c r="A559" t="s">
        <v>617</v>
      </c>
      <c r="B559" s="1">
        <v>45296</v>
      </c>
      <c r="C559" t="s">
        <v>13</v>
      </c>
      <c r="D559" t="s">
        <v>37</v>
      </c>
      <c r="E559" t="s">
        <v>34</v>
      </c>
      <c r="F559" t="s">
        <v>48</v>
      </c>
      <c r="G559" t="s">
        <v>30</v>
      </c>
      <c r="H559">
        <v>14</v>
      </c>
      <c r="I559">
        <v>15531.98</v>
      </c>
      <c r="J559" s="2">
        <v>0.1</v>
      </c>
      <c r="K559" t="s">
        <v>44</v>
      </c>
      <c r="L559">
        <v>195702.95</v>
      </c>
      <c r="M559" t="str">
        <f>TEXT(Table1[[#This Row],[OrderDate]], "mmm")</f>
        <v>Jan</v>
      </c>
      <c r="N559" t="str">
        <f>IF(Table1[[#This Row],[TotalSales]]&gt;50000,"High",IF(L559&gt;20000,"Medium","Low"))</f>
        <v>High</v>
      </c>
      <c r="O559">
        <f>Table1[[#This Row],[TotalSales]]/Table1[[#This Row],[Quantity]]</f>
        <v>13978.782142857144</v>
      </c>
    </row>
    <row r="560" spans="1:15" x14ac:dyDescent="0.35">
      <c r="A560" t="s">
        <v>618</v>
      </c>
      <c r="B560" s="1">
        <v>45310</v>
      </c>
      <c r="C560" t="s">
        <v>13</v>
      </c>
      <c r="D560" t="s">
        <v>14</v>
      </c>
      <c r="E560" t="s">
        <v>34</v>
      </c>
      <c r="F560" t="s">
        <v>61</v>
      </c>
      <c r="G560" t="s">
        <v>69</v>
      </c>
      <c r="H560">
        <v>9</v>
      </c>
      <c r="I560">
        <v>18530.21</v>
      </c>
      <c r="J560" s="2">
        <v>0.15</v>
      </c>
      <c r="K560" t="s">
        <v>31</v>
      </c>
      <c r="L560">
        <v>141756.10999999999</v>
      </c>
      <c r="M560" t="str">
        <f>TEXT(Table1[[#This Row],[OrderDate]], "mmm")</f>
        <v>Jan</v>
      </c>
      <c r="N560" t="str">
        <f>IF(Table1[[#This Row],[TotalSales]]&gt;50000,"High",IF(L560&gt;20000,"Medium","Low"))</f>
        <v>High</v>
      </c>
      <c r="O560">
        <f>Table1[[#This Row],[TotalSales]]/Table1[[#This Row],[Quantity]]</f>
        <v>15750.678888888888</v>
      </c>
    </row>
    <row r="561" spans="1:15" x14ac:dyDescent="0.35">
      <c r="A561" t="s">
        <v>619</v>
      </c>
      <c r="B561" s="1">
        <v>45306</v>
      </c>
      <c r="C561" t="s">
        <v>20</v>
      </c>
      <c r="D561" t="s">
        <v>27</v>
      </c>
      <c r="E561" t="s">
        <v>28</v>
      </c>
      <c r="F561" t="s">
        <v>29</v>
      </c>
      <c r="G561" t="s">
        <v>17</v>
      </c>
      <c r="H561">
        <v>15</v>
      </c>
      <c r="I561">
        <v>43853.61</v>
      </c>
      <c r="J561" s="2">
        <v>0.1</v>
      </c>
      <c r="K561" t="s">
        <v>31</v>
      </c>
      <c r="L561">
        <v>592023.73</v>
      </c>
      <c r="M561" t="str">
        <f>TEXT(Table1[[#This Row],[OrderDate]], "mmm")</f>
        <v>Jan</v>
      </c>
      <c r="N561" t="str">
        <f>IF(Table1[[#This Row],[TotalSales]]&gt;50000,"High",IF(L561&gt;20000,"Medium","Low"))</f>
        <v>High</v>
      </c>
      <c r="O561">
        <f>Table1[[#This Row],[TotalSales]]/Table1[[#This Row],[Quantity]]</f>
        <v>39468.248666666666</v>
      </c>
    </row>
    <row r="562" spans="1:15" x14ac:dyDescent="0.35">
      <c r="A562" t="s">
        <v>620</v>
      </c>
      <c r="B562" s="1">
        <v>45316</v>
      </c>
      <c r="C562" t="s">
        <v>13</v>
      </c>
      <c r="D562" t="s">
        <v>14</v>
      </c>
      <c r="E562" t="s">
        <v>28</v>
      </c>
      <c r="F562" t="s">
        <v>29</v>
      </c>
      <c r="G562" t="s">
        <v>69</v>
      </c>
      <c r="H562">
        <v>13</v>
      </c>
      <c r="I562">
        <v>35872.74</v>
      </c>
      <c r="J562" s="2">
        <v>0</v>
      </c>
      <c r="K562" t="s">
        <v>18</v>
      </c>
      <c r="L562">
        <v>466345.62</v>
      </c>
      <c r="M562" t="str">
        <f>TEXT(Table1[[#This Row],[OrderDate]], "mmm")</f>
        <v>Jan</v>
      </c>
      <c r="N562" t="str">
        <f>IF(Table1[[#This Row],[TotalSales]]&gt;50000,"High",IF(L562&gt;20000,"Medium","Low"))</f>
        <v>High</v>
      </c>
      <c r="O562">
        <f>Table1[[#This Row],[TotalSales]]/Table1[[#This Row],[Quantity]]</f>
        <v>35872.74</v>
      </c>
    </row>
    <row r="563" spans="1:15" x14ac:dyDescent="0.35">
      <c r="A563" t="s">
        <v>621</v>
      </c>
      <c r="B563" s="1">
        <v>45585</v>
      </c>
      <c r="C563" t="s">
        <v>13</v>
      </c>
      <c r="D563" t="s">
        <v>33</v>
      </c>
      <c r="E563" t="s">
        <v>28</v>
      </c>
      <c r="F563" t="s">
        <v>29</v>
      </c>
      <c r="G563" t="s">
        <v>83</v>
      </c>
      <c r="H563">
        <v>11</v>
      </c>
      <c r="I563">
        <v>7870.44</v>
      </c>
      <c r="J563" s="2">
        <v>0.05</v>
      </c>
      <c r="K563" t="s">
        <v>25</v>
      </c>
      <c r="L563">
        <v>82246.100000000006</v>
      </c>
      <c r="M563" t="str">
        <f>TEXT(Table1[[#This Row],[OrderDate]], "mmm")</f>
        <v>Oct</v>
      </c>
      <c r="N563" t="str">
        <f>IF(Table1[[#This Row],[TotalSales]]&gt;50000,"High",IF(L563&gt;20000,"Medium","Low"))</f>
        <v>High</v>
      </c>
      <c r="O563">
        <f>Table1[[#This Row],[TotalSales]]/Table1[[#This Row],[Quantity]]</f>
        <v>7476.9181818181823</v>
      </c>
    </row>
    <row r="564" spans="1:15" x14ac:dyDescent="0.35">
      <c r="A564" t="s">
        <v>622</v>
      </c>
      <c r="B564" s="1">
        <v>45333</v>
      </c>
      <c r="C564" t="s">
        <v>40</v>
      </c>
      <c r="D564" t="s">
        <v>41</v>
      </c>
      <c r="E564" t="s">
        <v>15</v>
      </c>
      <c r="F564" t="s">
        <v>59</v>
      </c>
      <c r="G564" t="s">
        <v>66</v>
      </c>
      <c r="H564">
        <v>2</v>
      </c>
      <c r="I564">
        <v>3608.21</v>
      </c>
      <c r="J564" s="2">
        <v>0</v>
      </c>
      <c r="K564" t="s">
        <v>44</v>
      </c>
      <c r="L564">
        <v>7216.42</v>
      </c>
      <c r="M564" t="str">
        <f>TEXT(Table1[[#This Row],[OrderDate]], "mmm")</f>
        <v>Feb</v>
      </c>
      <c r="N564" t="str">
        <f>IF(Table1[[#This Row],[TotalSales]]&gt;50000,"High",IF(L564&gt;20000,"Medium","Low"))</f>
        <v>Low</v>
      </c>
      <c r="O564">
        <f>Table1[[#This Row],[TotalSales]]/Table1[[#This Row],[Quantity]]</f>
        <v>3608.21</v>
      </c>
    </row>
    <row r="565" spans="1:15" x14ac:dyDescent="0.35">
      <c r="A565" t="s">
        <v>623</v>
      </c>
      <c r="B565" s="1">
        <v>45542</v>
      </c>
      <c r="C565" t="s">
        <v>40</v>
      </c>
      <c r="D565" t="s">
        <v>51</v>
      </c>
      <c r="E565" t="s">
        <v>34</v>
      </c>
      <c r="F565" t="s">
        <v>88</v>
      </c>
      <c r="G565" t="s">
        <v>17</v>
      </c>
      <c r="H565">
        <v>12</v>
      </c>
      <c r="I565">
        <v>53535.33</v>
      </c>
      <c r="J565" s="2">
        <v>0.2</v>
      </c>
      <c r="K565" t="s">
        <v>18</v>
      </c>
      <c r="L565">
        <v>513939.17</v>
      </c>
      <c r="M565" t="str">
        <f>TEXT(Table1[[#This Row],[OrderDate]], "mmm")</f>
        <v>Sep</v>
      </c>
      <c r="N565" t="str">
        <f>IF(Table1[[#This Row],[TotalSales]]&gt;50000,"High",IF(L565&gt;20000,"Medium","Low"))</f>
        <v>High</v>
      </c>
      <c r="O565">
        <f>Table1[[#This Row],[TotalSales]]/Table1[[#This Row],[Quantity]]</f>
        <v>42828.264166666668</v>
      </c>
    </row>
    <row r="566" spans="1:15" x14ac:dyDescent="0.35">
      <c r="A566" t="s">
        <v>624</v>
      </c>
      <c r="B566" s="1">
        <v>45372</v>
      </c>
      <c r="C566" t="s">
        <v>46</v>
      </c>
      <c r="D566" t="s">
        <v>71</v>
      </c>
      <c r="E566" t="s">
        <v>34</v>
      </c>
      <c r="F566" t="s">
        <v>88</v>
      </c>
      <c r="G566" t="s">
        <v>43</v>
      </c>
      <c r="H566">
        <v>9</v>
      </c>
      <c r="I566">
        <v>20439.400000000001</v>
      </c>
      <c r="J566" s="2">
        <v>0</v>
      </c>
      <c r="K566" t="s">
        <v>18</v>
      </c>
      <c r="L566">
        <v>183954.6</v>
      </c>
      <c r="M566" t="str">
        <f>TEXT(Table1[[#This Row],[OrderDate]], "mmm")</f>
        <v>Mar</v>
      </c>
      <c r="N566" t="str">
        <f>IF(Table1[[#This Row],[TotalSales]]&gt;50000,"High",IF(L566&gt;20000,"Medium","Low"))</f>
        <v>High</v>
      </c>
      <c r="O566">
        <f>Table1[[#This Row],[TotalSales]]/Table1[[#This Row],[Quantity]]</f>
        <v>20439.400000000001</v>
      </c>
    </row>
    <row r="567" spans="1:15" x14ac:dyDescent="0.35">
      <c r="A567" t="s">
        <v>625</v>
      </c>
      <c r="B567" s="1">
        <v>45447</v>
      </c>
      <c r="C567" t="s">
        <v>13</v>
      </c>
      <c r="D567" t="s">
        <v>37</v>
      </c>
      <c r="E567" t="s">
        <v>15</v>
      </c>
      <c r="F567" t="s">
        <v>56</v>
      </c>
      <c r="G567" t="s">
        <v>49</v>
      </c>
      <c r="H567">
        <v>5</v>
      </c>
      <c r="I567">
        <v>26828.720000000001</v>
      </c>
      <c r="J567" s="2">
        <v>0.2</v>
      </c>
      <c r="K567" t="s">
        <v>44</v>
      </c>
      <c r="L567">
        <v>107314.88</v>
      </c>
      <c r="M567" t="str">
        <f>TEXT(Table1[[#This Row],[OrderDate]], "mmm")</f>
        <v>Jun</v>
      </c>
      <c r="N567" t="str">
        <f>IF(Table1[[#This Row],[TotalSales]]&gt;50000,"High",IF(L567&gt;20000,"Medium","Low"))</f>
        <v>High</v>
      </c>
      <c r="O567">
        <f>Table1[[#This Row],[TotalSales]]/Table1[[#This Row],[Quantity]]</f>
        <v>21462.976000000002</v>
      </c>
    </row>
    <row r="568" spans="1:15" x14ac:dyDescent="0.35">
      <c r="A568" t="s">
        <v>626</v>
      </c>
      <c r="B568" s="1">
        <v>45354</v>
      </c>
      <c r="C568" t="s">
        <v>40</v>
      </c>
      <c r="D568" t="s">
        <v>55</v>
      </c>
      <c r="E568" t="s">
        <v>22</v>
      </c>
      <c r="F568" t="s">
        <v>42</v>
      </c>
      <c r="G568" t="s">
        <v>83</v>
      </c>
      <c r="H568">
        <v>9</v>
      </c>
      <c r="I568">
        <v>19305.96</v>
      </c>
      <c r="J568" s="2">
        <v>0.2</v>
      </c>
      <c r="K568" t="s">
        <v>25</v>
      </c>
      <c r="L568">
        <v>139002.91</v>
      </c>
      <c r="M568" t="str">
        <f>TEXT(Table1[[#This Row],[OrderDate]], "mmm")</f>
        <v>Mar</v>
      </c>
      <c r="N568" t="str">
        <f>IF(Table1[[#This Row],[TotalSales]]&gt;50000,"High",IF(L568&gt;20000,"Medium","Low"))</f>
        <v>High</v>
      </c>
      <c r="O568">
        <f>Table1[[#This Row],[TotalSales]]/Table1[[#This Row],[Quantity]]</f>
        <v>15444.767777777779</v>
      </c>
    </row>
    <row r="569" spans="1:15" x14ac:dyDescent="0.35">
      <c r="A569" t="s">
        <v>627</v>
      </c>
      <c r="B569" s="1">
        <v>45617</v>
      </c>
      <c r="C569" t="s">
        <v>20</v>
      </c>
      <c r="D569" t="s">
        <v>21</v>
      </c>
      <c r="E569" t="s">
        <v>34</v>
      </c>
      <c r="F569" t="s">
        <v>61</v>
      </c>
      <c r="G569" t="s">
        <v>66</v>
      </c>
      <c r="H569">
        <v>8</v>
      </c>
      <c r="I569">
        <v>41940</v>
      </c>
      <c r="J569" s="2">
        <v>0.15</v>
      </c>
      <c r="K569" t="s">
        <v>25</v>
      </c>
      <c r="L569">
        <v>285192</v>
      </c>
      <c r="M569" t="str">
        <f>TEXT(Table1[[#This Row],[OrderDate]], "mmm")</f>
        <v>Nov</v>
      </c>
      <c r="N569" t="str">
        <f>IF(Table1[[#This Row],[TotalSales]]&gt;50000,"High",IF(L569&gt;20000,"Medium","Low"))</f>
        <v>High</v>
      </c>
      <c r="O569">
        <f>Table1[[#This Row],[TotalSales]]/Table1[[#This Row],[Quantity]]</f>
        <v>35649</v>
      </c>
    </row>
    <row r="570" spans="1:15" x14ac:dyDescent="0.35">
      <c r="A570" t="s">
        <v>628</v>
      </c>
      <c r="B570" s="1">
        <v>45315</v>
      </c>
      <c r="C570" t="s">
        <v>13</v>
      </c>
      <c r="D570" t="s">
        <v>33</v>
      </c>
      <c r="E570" t="s">
        <v>22</v>
      </c>
      <c r="F570" t="s">
        <v>82</v>
      </c>
      <c r="G570" t="s">
        <v>49</v>
      </c>
      <c r="H570">
        <v>11</v>
      </c>
      <c r="I570">
        <v>48974.37</v>
      </c>
      <c r="J570" s="2">
        <v>0.15</v>
      </c>
      <c r="K570" t="s">
        <v>31</v>
      </c>
      <c r="L570">
        <f>(Table1[[#This Row],[Quantity]]*Table1[[#This Row],[UnitPrice]])-(Table1[[#This Row],[Quantity]]*Table1[[#This Row],[UnitPrice]])*Table1[[#This Row],[Discount%]]</f>
        <v>457910.35950000008</v>
      </c>
      <c r="M570" t="str">
        <f>TEXT(Table1[[#This Row],[OrderDate]], "mmm")</f>
        <v>Jan</v>
      </c>
      <c r="N570" t="str">
        <f>IF(Table1[[#This Row],[TotalSales]]&gt;50000,"High",IF(L570&gt;20000,"Medium","Low"))</f>
        <v>High</v>
      </c>
      <c r="O570">
        <f>Table1[[#This Row],[TotalSales]]/Table1[[#This Row],[Quantity]]</f>
        <v>41628.214500000009</v>
      </c>
    </row>
    <row r="571" spans="1:15" x14ac:dyDescent="0.35">
      <c r="A571" t="s">
        <v>629</v>
      </c>
      <c r="B571" s="1">
        <v>45559</v>
      </c>
      <c r="C571" t="s">
        <v>46</v>
      </c>
      <c r="D571" t="s">
        <v>71</v>
      </c>
      <c r="E571" t="s">
        <v>15</v>
      </c>
      <c r="F571" t="s">
        <v>59</v>
      </c>
      <c r="G571" t="s">
        <v>43</v>
      </c>
      <c r="H571">
        <v>4</v>
      </c>
      <c r="I571">
        <v>41330.61</v>
      </c>
      <c r="J571" s="2">
        <v>0.1</v>
      </c>
      <c r="K571" t="s">
        <v>44</v>
      </c>
      <c r="L571">
        <v>148790.20000000001</v>
      </c>
      <c r="M571" t="str">
        <f>TEXT(Table1[[#This Row],[OrderDate]], "mmm")</f>
        <v>Sep</v>
      </c>
      <c r="N571" t="str">
        <f>IF(Table1[[#This Row],[TotalSales]]&gt;50000,"High",IF(L571&gt;20000,"Medium","Low"))</f>
        <v>High</v>
      </c>
      <c r="O571">
        <f>Table1[[#This Row],[TotalSales]]/Table1[[#This Row],[Quantity]]</f>
        <v>37197.550000000003</v>
      </c>
    </row>
    <row r="572" spans="1:15" x14ac:dyDescent="0.35">
      <c r="A572" t="s">
        <v>630</v>
      </c>
      <c r="B572" s="1">
        <v>45565</v>
      </c>
      <c r="C572" t="s">
        <v>40</v>
      </c>
      <c r="D572" t="s">
        <v>55</v>
      </c>
      <c r="E572" t="s">
        <v>22</v>
      </c>
      <c r="F572" t="s">
        <v>42</v>
      </c>
      <c r="G572" t="s">
        <v>66</v>
      </c>
      <c r="H572">
        <v>10</v>
      </c>
      <c r="I572">
        <v>17759.63</v>
      </c>
      <c r="J572" s="2">
        <v>0.1</v>
      </c>
      <c r="K572" t="s">
        <v>31</v>
      </c>
      <c r="L572">
        <v>159836.67000000001</v>
      </c>
      <c r="M572" t="str">
        <f>TEXT(Table1[[#This Row],[OrderDate]], "mmm")</f>
        <v>Sep</v>
      </c>
      <c r="N572" t="str">
        <f>IF(Table1[[#This Row],[TotalSales]]&gt;50000,"High",IF(L572&gt;20000,"Medium","Low"))</f>
        <v>High</v>
      </c>
      <c r="O572">
        <f>Table1[[#This Row],[TotalSales]]/Table1[[#This Row],[Quantity]]</f>
        <v>15983.667000000001</v>
      </c>
    </row>
    <row r="573" spans="1:15" x14ac:dyDescent="0.35">
      <c r="A573" t="s">
        <v>631</v>
      </c>
      <c r="B573" s="1">
        <v>45350</v>
      </c>
      <c r="C573" t="s">
        <v>13</v>
      </c>
      <c r="D573" t="s">
        <v>14</v>
      </c>
      <c r="E573" t="s">
        <v>28</v>
      </c>
      <c r="F573" t="s">
        <v>104</v>
      </c>
      <c r="G573" t="s">
        <v>66</v>
      </c>
      <c r="H573">
        <v>2</v>
      </c>
      <c r="I573">
        <v>29889.5</v>
      </c>
      <c r="J573" s="2">
        <v>0</v>
      </c>
      <c r="K573" t="s">
        <v>18</v>
      </c>
      <c r="L573">
        <v>59779</v>
      </c>
      <c r="M573" t="str">
        <f>TEXT(Table1[[#This Row],[OrderDate]], "mmm")</f>
        <v>Feb</v>
      </c>
      <c r="N573" t="str">
        <f>IF(Table1[[#This Row],[TotalSales]]&gt;50000,"High",IF(L573&gt;20000,"Medium","Low"))</f>
        <v>High</v>
      </c>
      <c r="O573">
        <f>Table1[[#This Row],[TotalSales]]/Table1[[#This Row],[Quantity]]</f>
        <v>29889.5</v>
      </c>
    </row>
    <row r="574" spans="1:15" x14ac:dyDescent="0.35">
      <c r="A574" t="s">
        <v>632</v>
      </c>
      <c r="B574" s="1">
        <v>45657</v>
      </c>
      <c r="C574" t="s">
        <v>20</v>
      </c>
      <c r="D574" t="s">
        <v>27</v>
      </c>
      <c r="E574" t="s">
        <v>15</v>
      </c>
      <c r="F574" t="s">
        <v>56</v>
      </c>
      <c r="G574" t="s">
        <v>17</v>
      </c>
      <c r="H574">
        <v>1</v>
      </c>
      <c r="I574">
        <v>16531.73</v>
      </c>
      <c r="J574" s="2">
        <v>0</v>
      </c>
      <c r="K574" t="s">
        <v>31</v>
      </c>
      <c r="L574">
        <v>16531.73</v>
      </c>
      <c r="M574" t="str">
        <f>TEXT(Table1[[#This Row],[OrderDate]], "mmm")</f>
        <v>Dec</v>
      </c>
      <c r="N574" t="str">
        <f>IF(Table1[[#This Row],[TotalSales]]&gt;50000,"High",IF(L574&gt;20000,"Medium","Low"))</f>
        <v>Low</v>
      </c>
      <c r="O574">
        <f>Table1[[#This Row],[TotalSales]]/Table1[[#This Row],[Quantity]]</f>
        <v>16531.73</v>
      </c>
    </row>
    <row r="575" spans="1:15" x14ac:dyDescent="0.35">
      <c r="A575" t="s">
        <v>633</v>
      </c>
      <c r="B575" s="1">
        <v>45552</v>
      </c>
      <c r="C575" t="s">
        <v>20</v>
      </c>
      <c r="D575" t="s">
        <v>97</v>
      </c>
      <c r="E575" t="s">
        <v>22</v>
      </c>
      <c r="F575" t="s">
        <v>42</v>
      </c>
      <c r="G575" t="s">
        <v>43</v>
      </c>
      <c r="H575">
        <v>13</v>
      </c>
      <c r="I575">
        <v>27842.28</v>
      </c>
      <c r="J575" s="2">
        <v>0</v>
      </c>
      <c r="K575" t="s">
        <v>25</v>
      </c>
      <c r="L575">
        <v>361949.64</v>
      </c>
      <c r="M575" t="str">
        <f>TEXT(Table1[[#This Row],[OrderDate]], "mmm")</f>
        <v>Sep</v>
      </c>
      <c r="N575" t="str">
        <f>IF(Table1[[#This Row],[TotalSales]]&gt;50000,"High",IF(L575&gt;20000,"Medium","Low"))</f>
        <v>High</v>
      </c>
      <c r="O575">
        <f>Table1[[#This Row],[TotalSales]]/Table1[[#This Row],[Quantity]]</f>
        <v>27842.280000000002</v>
      </c>
    </row>
    <row r="576" spans="1:15" x14ac:dyDescent="0.35">
      <c r="A576" t="s">
        <v>634</v>
      </c>
      <c r="B576" s="1">
        <v>45592</v>
      </c>
      <c r="C576" t="s">
        <v>13</v>
      </c>
      <c r="D576" t="s">
        <v>33</v>
      </c>
      <c r="E576" t="s">
        <v>22</v>
      </c>
      <c r="F576" t="s">
        <v>23</v>
      </c>
      <c r="G576" t="s">
        <v>17</v>
      </c>
      <c r="H576">
        <v>11</v>
      </c>
      <c r="I576">
        <v>5762.72</v>
      </c>
      <c r="J576" s="2">
        <v>0.2</v>
      </c>
      <c r="K576" t="s">
        <v>18</v>
      </c>
      <c r="L576">
        <v>50711.94</v>
      </c>
      <c r="M576" t="str">
        <f>TEXT(Table1[[#This Row],[OrderDate]], "mmm")</f>
        <v>Oct</v>
      </c>
      <c r="N576" t="str">
        <f>IF(Table1[[#This Row],[TotalSales]]&gt;50000,"High",IF(L576&gt;20000,"Medium","Low"))</f>
        <v>High</v>
      </c>
      <c r="O576">
        <f>Table1[[#This Row],[TotalSales]]/Table1[[#This Row],[Quantity]]</f>
        <v>4610.1763636363639</v>
      </c>
    </row>
    <row r="577" spans="1:15" x14ac:dyDescent="0.35">
      <c r="A577" t="s">
        <v>635</v>
      </c>
      <c r="B577" s="1">
        <v>45567</v>
      </c>
      <c r="C577" t="s">
        <v>20</v>
      </c>
      <c r="D577" t="s">
        <v>27</v>
      </c>
      <c r="E577" t="s">
        <v>22</v>
      </c>
      <c r="F577" t="s">
        <v>52</v>
      </c>
      <c r="G577" t="s">
        <v>49</v>
      </c>
      <c r="H577">
        <v>7</v>
      </c>
      <c r="I577">
        <v>52882.1</v>
      </c>
      <c r="J577" s="2">
        <v>0.1</v>
      </c>
      <c r="K577" t="s">
        <v>18</v>
      </c>
      <c r="L577">
        <v>333157.23</v>
      </c>
      <c r="M577" t="str">
        <f>TEXT(Table1[[#This Row],[OrderDate]], "mmm")</f>
        <v>Oct</v>
      </c>
      <c r="N577" t="str">
        <f>IF(Table1[[#This Row],[TotalSales]]&gt;50000,"High",IF(L577&gt;20000,"Medium","Low"))</f>
        <v>High</v>
      </c>
      <c r="O577">
        <f>Table1[[#This Row],[TotalSales]]/Table1[[#This Row],[Quantity]]</f>
        <v>47593.89</v>
      </c>
    </row>
    <row r="578" spans="1:15" x14ac:dyDescent="0.35">
      <c r="A578" t="s">
        <v>636</v>
      </c>
      <c r="B578" s="1">
        <v>45598</v>
      </c>
      <c r="C578" t="s">
        <v>40</v>
      </c>
      <c r="D578" t="s">
        <v>41</v>
      </c>
      <c r="E578" t="s">
        <v>15</v>
      </c>
      <c r="F578" t="s">
        <v>16</v>
      </c>
      <c r="G578" t="s">
        <v>49</v>
      </c>
      <c r="H578">
        <v>5</v>
      </c>
      <c r="I578">
        <v>46203.93</v>
      </c>
      <c r="J578" s="2">
        <v>0.05</v>
      </c>
      <c r="K578" t="s">
        <v>31</v>
      </c>
      <c r="L578">
        <v>219468.67</v>
      </c>
      <c r="M578" t="str">
        <f>TEXT(Table1[[#This Row],[OrderDate]], "mmm")</f>
        <v>Nov</v>
      </c>
      <c r="N578" t="str">
        <f>IF(Table1[[#This Row],[TotalSales]]&gt;50000,"High",IF(L578&gt;20000,"Medium","Low"))</f>
        <v>High</v>
      </c>
      <c r="O578">
        <f>Table1[[#This Row],[TotalSales]]/Table1[[#This Row],[Quantity]]</f>
        <v>43893.734000000004</v>
      </c>
    </row>
    <row r="579" spans="1:15" x14ac:dyDescent="0.35">
      <c r="A579" t="s">
        <v>637</v>
      </c>
      <c r="B579" s="1">
        <v>45494</v>
      </c>
      <c r="C579" t="s">
        <v>13</v>
      </c>
      <c r="D579" t="s">
        <v>14</v>
      </c>
      <c r="E579" t="s">
        <v>22</v>
      </c>
      <c r="F579" t="s">
        <v>23</v>
      </c>
      <c r="G579" t="s">
        <v>83</v>
      </c>
      <c r="H579">
        <v>12</v>
      </c>
      <c r="I579">
        <v>6939.14</v>
      </c>
      <c r="J579" s="2">
        <v>0</v>
      </c>
      <c r="K579" t="s">
        <v>44</v>
      </c>
      <c r="L579">
        <v>83269.679999999993</v>
      </c>
      <c r="M579" t="str">
        <f>TEXT(Table1[[#This Row],[OrderDate]], "mmm")</f>
        <v>Jul</v>
      </c>
      <c r="N579" t="str">
        <f>IF(Table1[[#This Row],[TotalSales]]&gt;50000,"High",IF(L579&gt;20000,"Medium","Low"))</f>
        <v>High</v>
      </c>
      <c r="O579">
        <f>Table1[[#This Row],[TotalSales]]/Table1[[#This Row],[Quantity]]</f>
        <v>6939.1399999999994</v>
      </c>
    </row>
    <row r="580" spans="1:15" x14ac:dyDescent="0.35">
      <c r="A580" t="s">
        <v>638</v>
      </c>
      <c r="B580" s="1">
        <v>45631</v>
      </c>
      <c r="C580" t="s">
        <v>13</v>
      </c>
      <c r="D580" t="s">
        <v>14</v>
      </c>
      <c r="E580" t="s">
        <v>28</v>
      </c>
      <c r="F580" t="s">
        <v>104</v>
      </c>
      <c r="G580" t="s">
        <v>43</v>
      </c>
      <c r="H580">
        <v>6</v>
      </c>
      <c r="I580">
        <v>18921.310000000001</v>
      </c>
      <c r="J580" s="2">
        <v>0.05</v>
      </c>
      <c r="K580" t="s">
        <v>25</v>
      </c>
      <c r="L580">
        <v>107851.47</v>
      </c>
      <c r="M580" t="str">
        <f>TEXT(Table1[[#This Row],[OrderDate]], "mmm")</f>
        <v>Dec</v>
      </c>
      <c r="N580" t="str">
        <f>IF(Table1[[#This Row],[TotalSales]]&gt;50000,"High",IF(L580&gt;20000,"Medium","Low"))</f>
        <v>High</v>
      </c>
      <c r="O580">
        <f>Table1[[#This Row],[TotalSales]]/Table1[[#This Row],[Quantity]]</f>
        <v>17975.244999999999</v>
      </c>
    </row>
    <row r="581" spans="1:15" x14ac:dyDescent="0.35">
      <c r="A581" t="s">
        <v>639</v>
      </c>
      <c r="B581" s="1">
        <v>45576</v>
      </c>
      <c r="C581" t="s">
        <v>20</v>
      </c>
      <c r="D581" t="s">
        <v>97</v>
      </c>
      <c r="E581" t="s">
        <v>15</v>
      </c>
      <c r="F581" t="s">
        <v>16</v>
      </c>
      <c r="G581" t="s">
        <v>17</v>
      </c>
      <c r="H581">
        <v>15</v>
      </c>
      <c r="I581">
        <v>38367.65</v>
      </c>
      <c r="J581" s="2">
        <v>0.05</v>
      </c>
      <c r="K581" t="s">
        <v>31</v>
      </c>
      <c r="L581">
        <v>546739.01</v>
      </c>
      <c r="M581" t="str">
        <f>TEXT(Table1[[#This Row],[OrderDate]], "mmm")</f>
        <v>Oct</v>
      </c>
      <c r="N581" t="str">
        <f>IF(Table1[[#This Row],[TotalSales]]&gt;50000,"High",IF(L581&gt;20000,"Medium","Low"))</f>
        <v>High</v>
      </c>
      <c r="O581">
        <f>Table1[[#This Row],[TotalSales]]/Table1[[#This Row],[Quantity]]</f>
        <v>36449.267333333337</v>
      </c>
    </row>
    <row r="582" spans="1:15" x14ac:dyDescent="0.35">
      <c r="A582" t="s">
        <v>640</v>
      </c>
      <c r="B582" s="1">
        <v>45599</v>
      </c>
      <c r="C582" t="s">
        <v>13</v>
      </c>
      <c r="D582" t="s">
        <v>37</v>
      </c>
      <c r="E582" t="s">
        <v>34</v>
      </c>
      <c r="F582" t="s">
        <v>35</v>
      </c>
      <c r="G582" t="s">
        <v>69</v>
      </c>
      <c r="H582">
        <v>6</v>
      </c>
      <c r="I582">
        <v>21393.96</v>
      </c>
      <c r="J582" s="2">
        <v>0.2</v>
      </c>
      <c r="K582" t="s">
        <v>25</v>
      </c>
      <c r="L582">
        <v>102691.01</v>
      </c>
      <c r="M582" t="str">
        <f>TEXT(Table1[[#This Row],[OrderDate]], "mmm")</f>
        <v>Nov</v>
      </c>
      <c r="N582" t="str">
        <f>IF(Table1[[#This Row],[TotalSales]]&gt;50000,"High",IF(L582&gt;20000,"Medium","Low"))</f>
        <v>High</v>
      </c>
      <c r="O582">
        <f>Table1[[#This Row],[TotalSales]]/Table1[[#This Row],[Quantity]]</f>
        <v>17115.168333333331</v>
      </c>
    </row>
    <row r="583" spans="1:15" x14ac:dyDescent="0.35">
      <c r="A583" t="s">
        <v>641</v>
      </c>
      <c r="B583" s="1">
        <v>45640</v>
      </c>
      <c r="C583" t="s">
        <v>46</v>
      </c>
      <c r="D583" t="s">
        <v>79</v>
      </c>
      <c r="E583" t="s">
        <v>15</v>
      </c>
      <c r="F583" t="s">
        <v>59</v>
      </c>
      <c r="G583" t="s">
        <v>69</v>
      </c>
      <c r="H583">
        <v>15</v>
      </c>
      <c r="I583">
        <v>39064.04</v>
      </c>
      <c r="J583" s="2">
        <v>0</v>
      </c>
      <c r="K583" t="s">
        <v>25</v>
      </c>
      <c r="L583">
        <v>585960.6</v>
      </c>
      <c r="M583" t="str">
        <f>TEXT(Table1[[#This Row],[OrderDate]], "mmm")</f>
        <v>Dec</v>
      </c>
      <c r="N583" t="str">
        <f>IF(Table1[[#This Row],[TotalSales]]&gt;50000,"High",IF(L583&gt;20000,"Medium","Low"))</f>
        <v>High</v>
      </c>
      <c r="O583">
        <f>Table1[[#This Row],[TotalSales]]/Table1[[#This Row],[Quantity]]</f>
        <v>39064.04</v>
      </c>
    </row>
    <row r="584" spans="1:15" x14ac:dyDescent="0.35">
      <c r="A584" t="s">
        <v>642</v>
      </c>
      <c r="B584" s="1">
        <v>45652</v>
      </c>
      <c r="C584" t="s">
        <v>13</v>
      </c>
      <c r="D584" t="s">
        <v>37</v>
      </c>
      <c r="E584" t="s">
        <v>28</v>
      </c>
      <c r="F584" t="s">
        <v>76</v>
      </c>
      <c r="G584" t="s">
        <v>30</v>
      </c>
      <c r="H584">
        <v>12</v>
      </c>
      <c r="I584">
        <v>33410.28</v>
      </c>
      <c r="J584" s="2">
        <v>0</v>
      </c>
      <c r="K584" t="s">
        <v>18</v>
      </c>
      <c r="L584">
        <v>400923.36</v>
      </c>
      <c r="M584" t="str">
        <f>TEXT(Table1[[#This Row],[OrderDate]], "mmm")</f>
        <v>Dec</v>
      </c>
      <c r="N584" t="str">
        <f>IF(Table1[[#This Row],[TotalSales]]&gt;50000,"High",IF(L584&gt;20000,"Medium","Low"))</f>
        <v>High</v>
      </c>
      <c r="O584">
        <f>Table1[[#This Row],[TotalSales]]/Table1[[#This Row],[Quantity]]</f>
        <v>33410.28</v>
      </c>
    </row>
    <row r="585" spans="1:15" x14ac:dyDescent="0.35">
      <c r="A585" t="s">
        <v>643</v>
      </c>
      <c r="B585" s="1">
        <v>45357</v>
      </c>
      <c r="C585" t="s">
        <v>46</v>
      </c>
      <c r="D585" t="s">
        <v>71</v>
      </c>
      <c r="E585" t="s">
        <v>22</v>
      </c>
      <c r="F585" t="s">
        <v>42</v>
      </c>
      <c r="G585" t="s">
        <v>49</v>
      </c>
      <c r="H585">
        <v>12</v>
      </c>
      <c r="I585">
        <v>3764.7</v>
      </c>
      <c r="J585" s="2">
        <v>0</v>
      </c>
      <c r="K585" t="s">
        <v>18</v>
      </c>
      <c r="L585">
        <v>45176.4</v>
      </c>
      <c r="M585" t="str">
        <f>TEXT(Table1[[#This Row],[OrderDate]], "mmm")</f>
        <v>Mar</v>
      </c>
      <c r="N585" t="str">
        <f>IF(Table1[[#This Row],[TotalSales]]&gt;50000,"High",IF(L585&gt;20000,"Medium","Low"))</f>
        <v>Medium</v>
      </c>
      <c r="O585">
        <f>Table1[[#This Row],[TotalSales]]/Table1[[#This Row],[Quantity]]</f>
        <v>3764.7000000000003</v>
      </c>
    </row>
    <row r="586" spans="1:15" x14ac:dyDescent="0.35">
      <c r="A586" t="s">
        <v>644</v>
      </c>
      <c r="B586" s="1">
        <v>45510</v>
      </c>
      <c r="C586" t="s">
        <v>40</v>
      </c>
      <c r="D586" t="s">
        <v>55</v>
      </c>
      <c r="E586" t="s">
        <v>15</v>
      </c>
      <c r="F586" t="s">
        <v>56</v>
      </c>
      <c r="G586" t="s">
        <v>49</v>
      </c>
      <c r="H586">
        <v>11</v>
      </c>
      <c r="I586">
        <v>37085.870000000003</v>
      </c>
      <c r="J586" s="2">
        <v>0.15</v>
      </c>
      <c r="K586" t="s">
        <v>31</v>
      </c>
      <c r="L586">
        <v>346752.88</v>
      </c>
      <c r="M586" t="str">
        <f>TEXT(Table1[[#This Row],[OrderDate]], "mmm")</f>
        <v>Aug</v>
      </c>
      <c r="N586" t="str">
        <f>IF(Table1[[#This Row],[TotalSales]]&gt;50000,"High",IF(L586&gt;20000,"Medium","Low"))</f>
        <v>High</v>
      </c>
      <c r="O586">
        <f>Table1[[#This Row],[TotalSales]]/Table1[[#This Row],[Quantity]]</f>
        <v>31522.98909090909</v>
      </c>
    </row>
    <row r="587" spans="1:15" x14ac:dyDescent="0.35">
      <c r="A587" t="s">
        <v>645</v>
      </c>
      <c r="B587" s="1">
        <v>45314</v>
      </c>
      <c r="C587" t="s">
        <v>13</v>
      </c>
      <c r="D587" t="s">
        <v>33</v>
      </c>
      <c r="E587" t="s">
        <v>34</v>
      </c>
      <c r="F587" t="s">
        <v>88</v>
      </c>
      <c r="G587" t="s">
        <v>69</v>
      </c>
      <c r="H587">
        <v>15</v>
      </c>
      <c r="I587">
        <v>39722.870000000003</v>
      </c>
      <c r="J587" s="2">
        <v>0</v>
      </c>
      <c r="K587" t="s">
        <v>44</v>
      </c>
      <c r="L587">
        <f>(Table1[[#This Row],[Quantity]]*Table1[[#This Row],[UnitPrice]])-(Table1[[#This Row],[Quantity]]*Table1[[#This Row],[UnitPrice]])*Table1[[#This Row],[Discount%]]</f>
        <v>595843.05000000005</v>
      </c>
      <c r="M587" t="str">
        <f>TEXT(Table1[[#This Row],[OrderDate]], "mmm")</f>
        <v>Jan</v>
      </c>
      <c r="N587" t="str">
        <f>IF(Table1[[#This Row],[TotalSales]]&gt;50000,"High",IF(L587&gt;20000,"Medium","Low"))</f>
        <v>High</v>
      </c>
      <c r="O587">
        <f>Table1[[#This Row],[TotalSales]]/Table1[[#This Row],[Quantity]]</f>
        <v>39722.870000000003</v>
      </c>
    </row>
    <row r="588" spans="1:15" x14ac:dyDescent="0.35">
      <c r="A588" t="s">
        <v>646</v>
      </c>
      <c r="B588" s="1">
        <v>45508</v>
      </c>
      <c r="C588" t="s">
        <v>20</v>
      </c>
      <c r="D588" t="s">
        <v>21</v>
      </c>
      <c r="E588" t="s">
        <v>15</v>
      </c>
      <c r="F588" t="s">
        <v>16</v>
      </c>
      <c r="G588" t="s">
        <v>30</v>
      </c>
      <c r="H588">
        <v>2</v>
      </c>
      <c r="I588">
        <v>50451.34</v>
      </c>
      <c r="J588" s="2">
        <v>0</v>
      </c>
      <c r="K588" t="s">
        <v>25</v>
      </c>
      <c r="L588">
        <v>100902.68</v>
      </c>
      <c r="M588" t="str">
        <f>TEXT(Table1[[#This Row],[OrderDate]], "mmm")</f>
        <v>Aug</v>
      </c>
      <c r="N588" t="str">
        <f>IF(Table1[[#This Row],[TotalSales]]&gt;50000,"High",IF(L588&gt;20000,"Medium","Low"))</f>
        <v>High</v>
      </c>
      <c r="O588">
        <f>Table1[[#This Row],[TotalSales]]/Table1[[#This Row],[Quantity]]</f>
        <v>50451.34</v>
      </c>
    </row>
    <row r="589" spans="1:15" x14ac:dyDescent="0.35">
      <c r="A589" t="s">
        <v>647</v>
      </c>
      <c r="B589" s="1">
        <v>45347</v>
      </c>
      <c r="C589" t="s">
        <v>13</v>
      </c>
      <c r="D589" t="s">
        <v>14</v>
      </c>
      <c r="E589" t="s">
        <v>15</v>
      </c>
      <c r="F589" t="s">
        <v>56</v>
      </c>
      <c r="G589" t="s">
        <v>17</v>
      </c>
      <c r="H589">
        <v>8</v>
      </c>
      <c r="I589">
        <v>13262.08</v>
      </c>
      <c r="J589" s="2">
        <v>0</v>
      </c>
      <c r="K589" t="s">
        <v>25</v>
      </c>
      <c r="L589">
        <v>106096.64</v>
      </c>
      <c r="M589" t="str">
        <f>TEXT(Table1[[#This Row],[OrderDate]], "mmm")</f>
        <v>Feb</v>
      </c>
      <c r="N589" t="str">
        <f>IF(Table1[[#This Row],[TotalSales]]&gt;50000,"High",IF(L589&gt;20000,"Medium","Low"))</f>
        <v>High</v>
      </c>
      <c r="O589">
        <f>Table1[[#This Row],[TotalSales]]/Table1[[#This Row],[Quantity]]</f>
        <v>13262.08</v>
      </c>
    </row>
    <row r="590" spans="1:15" x14ac:dyDescent="0.35">
      <c r="A590" t="s">
        <v>648</v>
      </c>
      <c r="B590" s="1">
        <v>45323</v>
      </c>
      <c r="C590" t="s">
        <v>46</v>
      </c>
      <c r="D590" t="s">
        <v>47</v>
      </c>
      <c r="E590" t="s">
        <v>15</v>
      </c>
      <c r="F590" t="s">
        <v>38</v>
      </c>
      <c r="G590" t="s">
        <v>30</v>
      </c>
      <c r="H590">
        <v>15</v>
      </c>
      <c r="I590">
        <v>2027.23</v>
      </c>
      <c r="J590" s="2">
        <v>0</v>
      </c>
      <c r="K590" t="s">
        <v>31</v>
      </c>
      <c r="L590">
        <v>30408.45</v>
      </c>
      <c r="M590" t="str">
        <f>TEXT(Table1[[#This Row],[OrderDate]], "mmm")</f>
        <v>Feb</v>
      </c>
      <c r="N590" t="str">
        <f>IF(Table1[[#This Row],[TotalSales]]&gt;50000,"High",IF(L590&gt;20000,"Medium","Low"))</f>
        <v>Medium</v>
      </c>
      <c r="O590">
        <f>Table1[[#This Row],[TotalSales]]/Table1[[#This Row],[Quantity]]</f>
        <v>2027.23</v>
      </c>
    </row>
    <row r="591" spans="1:15" x14ac:dyDescent="0.35">
      <c r="A591" t="s">
        <v>649</v>
      </c>
      <c r="B591" s="1">
        <v>45638</v>
      </c>
      <c r="C591" t="s">
        <v>46</v>
      </c>
      <c r="D591" t="s">
        <v>47</v>
      </c>
      <c r="E591" t="s">
        <v>28</v>
      </c>
      <c r="F591" t="s">
        <v>104</v>
      </c>
      <c r="G591" t="s">
        <v>43</v>
      </c>
      <c r="H591">
        <v>1</v>
      </c>
      <c r="I591">
        <v>30847.34</v>
      </c>
      <c r="J591" s="2">
        <v>0</v>
      </c>
      <c r="K591" t="s">
        <v>25</v>
      </c>
      <c r="L591">
        <v>30847.34</v>
      </c>
      <c r="M591" t="str">
        <f>TEXT(Table1[[#This Row],[OrderDate]], "mmm")</f>
        <v>Dec</v>
      </c>
      <c r="N591" t="str">
        <f>IF(Table1[[#This Row],[TotalSales]]&gt;50000,"High",IF(L591&gt;20000,"Medium","Low"))</f>
        <v>Medium</v>
      </c>
      <c r="O591">
        <f>Table1[[#This Row],[TotalSales]]/Table1[[#This Row],[Quantity]]</f>
        <v>30847.34</v>
      </c>
    </row>
    <row r="592" spans="1:15" x14ac:dyDescent="0.35">
      <c r="A592" t="s">
        <v>650</v>
      </c>
      <c r="B592" s="1">
        <v>45609</v>
      </c>
      <c r="C592" t="s">
        <v>40</v>
      </c>
      <c r="D592" t="s">
        <v>51</v>
      </c>
      <c r="E592" t="s">
        <v>34</v>
      </c>
      <c r="F592" t="s">
        <v>88</v>
      </c>
      <c r="G592" t="s">
        <v>17</v>
      </c>
      <c r="H592">
        <v>2</v>
      </c>
      <c r="I592">
        <v>18810.98</v>
      </c>
      <c r="J592" s="2">
        <v>0.15</v>
      </c>
      <c r="K592" t="s">
        <v>31</v>
      </c>
      <c r="L592">
        <v>31978.67</v>
      </c>
      <c r="M592" t="str">
        <f>TEXT(Table1[[#This Row],[OrderDate]], "mmm")</f>
        <v>Nov</v>
      </c>
      <c r="N592" t="str">
        <f>IF(Table1[[#This Row],[TotalSales]]&gt;50000,"High",IF(L592&gt;20000,"Medium","Low"))</f>
        <v>Medium</v>
      </c>
      <c r="O592">
        <f>Table1[[#This Row],[TotalSales]]/Table1[[#This Row],[Quantity]]</f>
        <v>15989.334999999999</v>
      </c>
    </row>
    <row r="593" spans="1:15" x14ac:dyDescent="0.35">
      <c r="A593" t="s">
        <v>651</v>
      </c>
      <c r="B593" s="1">
        <v>45552</v>
      </c>
      <c r="C593" t="s">
        <v>20</v>
      </c>
      <c r="D593" t="s">
        <v>21</v>
      </c>
      <c r="E593" t="s">
        <v>15</v>
      </c>
      <c r="F593" t="s">
        <v>59</v>
      </c>
      <c r="G593" t="s">
        <v>43</v>
      </c>
      <c r="H593">
        <v>5</v>
      </c>
      <c r="I593">
        <v>19675.439999999999</v>
      </c>
      <c r="J593" s="2">
        <v>0.05</v>
      </c>
      <c r="K593" t="s">
        <v>18</v>
      </c>
      <c r="L593">
        <v>93458.34</v>
      </c>
      <c r="M593" t="str">
        <f>TEXT(Table1[[#This Row],[OrderDate]], "mmm")</f>
        <v>Sep</v>
      </c>
      <c r="N593" t="str">
        <f>IF(Table1[[#This Row],[TotalSales]]&gt;50000,"High",IF(L593&gt;20000,"Medium","Low"))</f>
        <v>High</v>
      </c>
      <c r="O593">
        <f>Table1[[#This Row],[TotalSales]]/Table1[[#This Row],[Quantity]]</f>
        <v>18691.667999999998</v>
      </c>
    </row>
    <row r="594" spans="1:15" x14ac:dyDescent="0.35">
      <c r="A594" t="s">
        <v>652</v>
      </c>
      <c r="B594" s="1">
        <v>45590</v>
      </c>
      <c r="C594" t="s">
        <v>13</v>
      </c>
      <c r="D594" t="s">
        <v>37</v>
      </c>
      <c r="E594" t="s">
        <v>28</v>
      </c>
      <c r="F594" t="s">
        <v>104</v>
      </c>
      <c r="G594" t="s">
        <v>43</v>
      </c>
      <c r="H594">
        <v>15</v>
      </c>
      <c r="I594">
        <v>29854.68</v>
      </c>
      <c r="J594" s="2">
        <v>0</v>
      </c>
      <c r="K594" t="s">
        <v>18</v>
      </c>
      <c r="L594">
        <v>447820.2</v>
      </c>
      <c r="M594" t="str">
        <f>TEXT(Table1[[#This Row],[OrderDate]], "mmm")</f>
        <v>Oct</v>
      </c>
      <c r="N594" t="str">
        <f>IF(Table1[[#This Row],[TotalSales]]&gt;50000,"High",IF(L594&gt;20000,"Medium","Low"))</f>
        <v>High</v>
      </c>
      <c r="O594">
        <f>Table1[[#This Row],[TotalSales]]/Table1[[#This Row],[Quantity]]</f>
        <v>29854.68</v>
      </c>
    </row>
    <row r="595" spans="1:15" x14ac:dyDescent="0.35">
      <c r="A595" t="s">
        <v>653</v>
      </c>
      <c r="B595" s="1">
        <v>45468</v>
      </c>
      <c r="C595" t="s">
        <v>46</v>
      </c>
      <c r="D595" t="s">
        <v>79</v>
      </c>
      <c r="E595" t="s">
        <v>15</v>
      </c>
      <c r="F595" t="s">
        <v>59</v>
      </c>
      <c r="G595" t="s">
        <v>30</v>
      </c>
      <c r="H595">
        <v>4</v>
      </c>
      <c r="I595">
        <v>53712.79</v>
      </c>
      <c r="J595" s="2">
        <v>0.15</v>
      </c>
      <c r="K595" t="s">
        <v>44</v>
      </c>
      <c r="L595">
        <v>182623.49</v>
      </c>
      <c r="M595" t="str">
        <f>TEXT(Table1[[#This Row],[OrderDate]], "mmm")</f>
        <v>Jun</v>
      </c>
      <c r="N595" t="str">
        <f>IF(Table1[[#This Row],[TotalSales]]&gt;50000,"High",IF(L595&gt;20000,"Medium","Low"))</f>
        <v>High</v>
      </c>
      <c r="O595">
        <f>Table1[[#This Row],[TotalSales]]/Table1[[#This Row],[Quantity]]</f>
        <v>45655.872499999998</v>
      </c>
    </row>
    <row r="596" spans="1:15" x14ac:dyDescent="0.35">
      <c r="A596" t="s">
        <v>654</v>
      </c>
      <c r="B596" s="1">
        <v>45375</v>
      </c>
      <c r="C596" t="s">
        <v>40</v>
      </c>
      <c r="D596" t="s">
        <v>41</v>
      </c>
      <c r="E596" t="s">
        <v>28</v>
      </c>
      <c r="F596" t="s">
        <v>29</v>
      </c>
      <c r="G596" t="s">
        <v>69</v>
      </c>
      <c r="H596">
        <v>2</v>
      </c>
      <c r="I596">
        <v>25095.75</v>
      </c>
      <c r="J596" s="2">
        <v>0.2</v>
      </c>
      <c r="K596" t="s">
        <v>25</v>
      </c>
      <c r="L596">
        <v>40153.199999999997</v>
      </c>
      <c r="M596" t="str">
        <f>TEXT(Table1[[#This Row],[OrderDate]], "mmm")</f>
        <v>Mar</v>
      </c>
      <c r="N596" t="str">
        <f>IF(Table1[[#This Row],[TotalSales]]&gt;50000,"High",IF(L596&gt;20000,"Medium","Low"))</f>
        <v>Medium</v>
      </c>
      <c r="O596">
        <f>Table1[[#This Row],[TotalSales]]/Table1[[#This Row],[Quantity]]</f>
        <v>20076.599999999999</v>
      </c>
    </row>
    <row r="597" spans="1:15" x14ac:dyDescent="0.35">
      <c r="A597" t="s">
        <v>655</v>
      </c>
      <c r="B597" s="1">
        <v>45461</v>
      </c>
      <c r="C597" t="s">
        <v>40</v>
      </c>
      <c r="D597" t="s">
        <v>51</v>
      </c>
      <c r="E597" t="s">
        <v>22</v>
      </c>
      <c r="F597" t="s">
        <v>42</v>
      </c>
      <c r="G597" t="s">
        <v>83</v>
      </c>
      <c r="H597">
        <v>13</v>
      </c>
      <c r="I597">
        <v>40756.46</v>
      </c>
      <c r="J597" s="2">
        <v>0</v>
      </c>
      <c r="K597" t="s">
        <v>31</v>
      </c>
      <c r="L597">
        <f>(Table1[[#This Row],[Quantity]]*Table1[[#This Row],[UnitPrice]])-(Table1[[#This Row],[Quantity]]*Table1[[#This Row],[UnitPrice]])*Table1[[#This Row],[Discount%]]</f>
        <v>529833.98</v>
      </c>
      <c r="M597" t="str">
        <f>TEXT(Table1[[#This Row],[OrderDate]], "mmm")</f>
        <v>Jun</v>
      </c>
      <c r="N597" t="str">
        <f>IF(Table1[[#This Row],[TotalSales]]&gt;50000,"High",IF(L597&gt;20000,"Medium","Low"))</f>
        <v>High</v>
      </c>
      <c r="O597">
        <f>Table1[[#This Row],[TotalSales]]/Table1[[#This Row],[Quantity]]</f>
        <v>40756.46</v>
      </c>
    </row>
    <row r="598" spans="1:15" x14ac:dyDescent="0.35">
      <c r="A598" t="s">
        <v>656</v>
      </c>
      <c r="B598" s="1">
        <v>45391</v>
      </c>
      <c r="C598" t="s">
        <v>13</v>
      </c>
      <c r="D598" t="s">
        <v>37</v>
      </c>
      <c r="E598" t="s">
        <v>15</v>
      </c>
      <c r="F598" t="s">
        <v>59</v>
      </c>
      <c r="G598" t="s">
        <v>69</v>
      </c>
      <c r="H598">
        <v>11</v>
      </c>
      <c r="I598">
        <v>32295.61</v>
      </c>
      <c r="J598" s="2">
        <v>0.2</v>
      </c>
      <c r="K598" t="s">
        <v>44</v>
      </c>
      <c r="L598">
        <v>284201.37</v>
      </c>
      <c r="M598" t="str">
        <f>TEXT(Table1[[#This Row],[OrderDate]], "mmm")</f>
        <v>Apr</v>
      </c>
      <c r="N598" t="str">
        <f>IF(Table1[[#This Row],[TotalSales]]&gt;50000,"High",IF(L598&gt;20000,"Medium","Low"))</f>
        <v>High</v>
      </c>
      <c r="O598">
        <f>Table1[[#This Row],[TotalSales]]/Table1[[#This Row],[Quantity]]</f>
        <v>25836.488181818182</v>
      </c>
    </row>
    <row r="599" spans="1:15" x14ac:dyDescent="0.35">
      <c r="A599" t="s">
        <v>657</v>
      </c>
      <c r="B599" s="1">
        <v>45392</v>
      </c>
      <c r="C599" t="s">
        <v>20</v>
      </c>
      <c r="D599" t="s">
        <v>27</v>
      </c>
      <c r="E599" t="s">
        <v>22</v>
      </c>
      <c r="F599" t="s">
        <v>52</v>
      </c>
      <c r="G599" t="s">
        <v>17</v>
      </c>
      <c r="H599">
        <v>1</v>
      </c>
      <c r="I599">
        <v>9849.0400000000009</v>
      </c>
      <c r="J599" s="2">
        <v>0</v>
      </c>
      <c r="K599" t="s">
        <v>44</v>
      </c>
      <c r="L599">
        <v>9849.0400000000009</v>
      </c>
      <c r="M599" t="str">
        <f>TEXT(Table1[[#This Row],[OrderDate]], "mmm")</f>
        <v>Apr</v>
      </c>
      <c r="N599" t="str">
        <f>IF(Table1[[#This Row],[TotalSales]]&gt;50000,"High",IF(L599&gt;20000,"Medium","Low"))</f>
        <v>Low</v>
      </c>
      <c r="O599">
        <f>Table1[[#This Row],[TotalSales]]/Table1[[#This Row],[Quantity]]</f>
        <v>9849.0400000000009</v>
      </c>
    </row>
    <row r="600" spans="1:15" x14ac:dyDescent="0.35">
      <c r="A600" t="s">
        <v>658</v>
      </c>
      <c r="B600" s="1">
        <v>45481</v>
      </c>
      <c r="C600" t="s">
        <v>40</v>
      </c>
      <c r="D600" t="s">
        <v>55</v>
      </c>
      <c r="E600" t="s">
        <v>22</v>
      </c>
      <c r="F600" t="s">
        <v>52</v>
      </c>
      <c r="G600" t="s">
        <v>17</v>
      </c>
      <c r="H600">
        <v>13</v>
      </c>
      <c r="I600">
        <v>20604.79</v>
      </c>
      <c r="J600" s="2">
        <v>0</v>
      </c>
      <c r="K600" t="s">
        <v>31</v>
      </c>
      <c r="L600">
        <v>267862.27</v>
      </c>
      <c r="M600" t="str">
        <f>TEXT(Table1[[#This Row],[OrderDate]], "mmm")</f>
        <v>Jul</v>
      </c>
      <c r="N600" t="str">
        <f>IF(Table1[[#This Row],[TotalSales]]&gt;50000,"High",IF(L600&gt;20000,"Medium","Low"))</f>
        <v>High</v>
      </c>
      <c r="O600">
        <f>Table1[[#This Row],[TotalSales]]/Table1[[#This Row],[Quantity]]</f>
        <v>20604.79</v>
      </c>
    </row>
    <row r="601" spans="1:15" x14ac:dyDescent="0.35">
      <c r="A601" t="s">
        <v>659</v>
      </c>
      <c r="B601" s="1">
        <v>45564</v>
      </c>
      <c r="C601" t="s">
        <v>20</v>
      </c>
      <c r="D601" t="s">
        <v>27</v>
      </c>
      <c r="E601" t="s">
        <v>22</v>
      </c>
      <c r="F601" t="s">
        <v>42</v>
      </c>
      <c r="G601" t="s">
        <v>69</v>
      </c>
      <c r="H601">
        <v>7</v>
      </c>
      <c r="I601">
        <v>38250.589999999997</v>
      </c>
      <c r="J601" s="2">
        <v>0</v>
      </c>
      <c r="K601" t="s">
        <v>44</v>
      </c>
      <c r="L601">
        <v>267754.13</v>
      </c>
      <c r="M601" t="str">
        <f>TEXT(Table1[[#This Row],[OrderDate]], "mmm")</f>
        <v>Sep</v>
      </c>
      <c r="N601" t="str">
        <f>IF(Table1[[#This Row],[TotalSales]]&gt;50000,"High",IF(L601&gt;20000,"Medium","Low"))</f>
        <v>High</v>
      </c>
      <c r="O601">
        <f>Table1[[#This Row],[TotalSales]]/Table1[[#This Row],[Quantity]]</f>
        <v>38250.590000000004</v>
      </c>
    </row>
    <row r="602" spans="1:15" x14ac:dyDescent="0.35">
      <c r="A602" t="s">
        <v>660</v>
      </c>
      <c r="B602" s="1">
        <v>45614</v>
      </c>
      <c r="C602" t="s">
        <v>20</v>
      </c>
      <c r="D602" t="s">
        <v>27</v>
      </c>
      <c r="E602" t="s">
        <v>22</v>
      </c>
      <c r="F602" t="s">
        <v>52</v>
      </c>
      <c r="G602" t="s">
        <v>17</v>
      </c>
      <c r="H602">
        <v>13</v>
      </c>
      <c r="I602">
        <v>15548.02</v>
      </c>
      <c r="J602" s="2">
        <v>0</v>
      </c>
      <c r="K602" t="s">
        <v>25</v>
      </c>
      <c r="L602">
        <v>202124.26</v>
      </c>
      <c r="M602" t="str">
        <f>TEXT(Table1[[#This Row],[OrderDate]], "mmm")</f>
        <v>Nov</v>
      </c>
      <c r="N602" t="str">
        <f>IF(Table1[[#This Row],[TotalSales]]&gt;50000,"High",IF(L602&gt;20000,"Medium","Low"))</f>
        <v>High</v>
      </c>
      <c r="O602">
        <f>Table1[[#This Row],[TotalSales]]/Table1[[#This Row],[Quantity]]</f>
        <v>15548.02</v>
      </c>
    </row>
    <row r="603" spans="1:15" x14ac:dyDescent="0.35">
      <c r="A603" t="s">
        <v>661</v>
      </c>
      <c r="B603" s="1">
        <v>45552</v>
      </c>
      <c r="C603" t="s">
        <v>40</v>
      </c>
      <c r="D603" t="s">
        <v>51</v>
      </c>
      <c r="E603" t="s">
        <v>15</v>
      </c>
      <c r="F603" t="s">
        <v>59</v>
      </c>
      <c r="G603" t="s">
        <v>30</v>
      </c>
      <c r="H603">
        <v>6</v>
      </c>
      <c r="I603">
        <v>27522.61</v>
      </c>
      <c r="J603" s="2">
        <v>0.05</v>
      </c>
      <c r="K603" t="s">
        <v>25</v>
      </c>
      <c r="L603">
        <v>156878.88</v>
      </c>
      <c r="M603" t="str">
        <f>TEXT(Table1[[#This Row],[OrderDate]], "mmm")</f>
        <v>Sep</v>
      </c>
      <c r="N603" t="str">
        <f>IF(Table1[[#This Row],[TotalSales]]&gt;50000,"High",IF(L603&gt;20000,"Medium","Low"))</f>
        <v>High</v>
      </c>
      <c r="O603">
        <f>Table1[[#This Row],[TotalSales]]/Table1[[#This Row],[Quantity]]</f>
        <v>26146.48</v>
      </c>
    </row>
    <row r="604" spans="1:15" x14ac:dyDescent="0.35">
      <c r="A604" t="s">
        <v>662</v>
      </c>
      <c r="B604" s="1">
        <v>45404</v>
      </c>
      <c r="C604" t="s">
        <v>46</v>
      </c>
      <c r="D604" t="s">
        <v>47</v>
      </c>
      <c r="E604" t="s">
        <v>28</v>
      </c>
      <c r="F604" t="s">
        <v>104</v>
      </c>
      <c r="G604" t="s">
        <v>24</v>
      </c>
      <c r="H604">
        <v>15</v>
      </c>
      <c r="I604">
        <v>11324.43</v>
      </c>
      <c r="J604" s="2">
        <v>0.2</v>
      </c>
      <c r="K604" t="s">
        <v>44</v>
      </c>
      <c r="L604">
        <v>135893.16</v>
      </c>
      <c r="M604" t="str">
        <f>TEXT(Table1[[#This Row],[OrderDate]], "mmm")</f>
        <v>Apr</v>
      </c>
      <c r="N604" t="str">
        <f>IF(Table1[[#This Row],[TotalSales]]&gt;50000,"High",IF(L604&gt;20000,"Medium","Low"))</f>
        <v>High</v>
      </c>
      <c r="O604">
        <f>Table1[[#This Row],[TotalSales]]/Table1[[#This Row],[Quantity]]</f>
        <v>9059.5439999999999</v>
      </c>
    </row>
    <row r="605" spans="1:15" x14ac:dyDescent="0.35">
      <c r="A605" t="s">
        <v>663</v>
      </c>
      <c r="B605" s="1">
        <v>45443</v>
      </c>
      <c r="C605" t="s">
        <v>20</v>
      </c>
      <c r="D605" t="s">
        <v>27</v>
      </c>
      <c r="E605" t="s">
        <v>28</v>
      </c>
      <c r="F605" t="s">
        <v>76</v>
      </c>
      <c r="G605" t="s">
        <v>30</v>
      </c>
      <c r="H605">
        <v>8</v>
      </c>
      <c r="I605">
        <v>28631.38</v>
      </c>
      <c r="J605" s="2">
        <v>0</v>
      </c>
      <c r="K605" t="s">
        <v>25</v>
      </c>
      <c r="L605">
        <v>229051.04</v>
      </c>
      <c r="M605" t="str">
        <f>TEXT(Table1[[#This Row],[OrderDate]], "mmm")</f>
        <v>May</v>
      </c>
      <c r="N605" t="str">
        <f>IF(Table1[[#This Row],[TotalSales]]&gt;50000,"High",IF(L605&gt;20000,"Medium","Low"))</f>
        <v>High</v>
      </c>
      <c r="O605">
        <f>Table1[[#This Row],[TotalSales]]/Table1[[#This Row],[Quantity]]</f>
        <v>28631.38</v>
      </c>
    </row>
    <row r="606" spans="1:15" x14ac:dyDescent="0.35">
      <c r="A606" t="s">
        <v>664</v>
      </c>
      <c r="B606" s="1">
        <v>45431</v>
      </c>
      <c r="C606" t="s">
        <v>40</v>
      </c>
      <c r="D606" t="s">
        <v>41</v>
      </c>
      <c r="E606" t="s">
        <v>34</v>
      </c>
      <c r="F606" t="s">
        <v>48</v>
      </c>
      <c r="G606" t="s">
        <v>17</v>
      </c>
      <c r="H606">
        <v>7</v>
      </c>
      <c r="I606">
        <v>1554.56</v>
      </c>
      <c r="J606" s="2">
        <v>0.05</v>
      </c>
      <c r="K606" t="s">
        <v>44</v>
      </c>
      <c r="L606">
        <v>10337.82</v>
      </c>
      <c r="M606" t="str">
        <f>TEXT(Table1[[#This Row],[OrderDate]], "mmm")</f>
        <v>May</v>
      </c>
      <c r="N606" t="str">
        <f>IF(Table1[[#This Row],[TotalSales]]&gt;50000,"High",IF(L606&gt;20000,"Medium","Low"))</f>
        <v>Low</v>
      </c>
      <c r="O606">
        <f>Table1[[#This Row],[TotalSales]]/Table1[[#This Row],[Quantity]]</f>
        <v>1476.8314285714284</v>
      </c>
    </row>
    <row r="607" spans="1:15" x14ac:dyDescent="0.35">
      <c r="A607" t="s">
        <v>665</v>
      </c>
      <c r="B607" s="1">
        <v>45476</v>
      </c>
      <c r="C607" t="s">
        <v>46</v>
      </c>
      <c r="D607" t="s">
        <v>47</v>
      </c>
      <c r="E607" t="s">
        <v>22</v>
      </c>
      <c r="F607" t="s">
        <v>23</v>
      </c>
      <c r="G607" t="s">
        <v>49</v>
      </c>
      <c r="H607">
        <v>1</v>
      </c>
      <c r="I607">
        <v>30122.23</v>
      </c>
      <c r="J607" s="2">
        <v>0</v>
      </c>
      <c r="K607" t="s">
        <v>18</v>
      </c>
      <c r="L607">
        <v>30122.23</v>
      </c>
      <c r="M607" t="str">
        <f>TEXT(Table1[[#This Row],[OrderDate]], "mmm")</f>
        <v>Jul</v>
      </c>
      <c r="N607" t="str">
        <f>IF(Table1[[#This Row],[TotalSales]]&gt;50000,"High",IF(L607&gt;20000,"Medium","Low"))</f>
        <v>Medium</v>
      </c>
      <c r="O607">
        <f>Table1[[#This Row],[TotalSales]]/Table1[[#This Row],[Quantity]]</f>
        <v>30122.23</v>
      </c>
    </row>
    <row r="608" spans="1:15" x14ac:dyDescent="0.35">
      <c r="A608" t="s">
        <v>666</v>
      </c>
      <c r="B608" s="1">
        <v>45436</v>
      </c>
      <c r="C608" t="s">
        <v>46</v>
      </c>
      <c r="D608" t="s">
        <v>79</v>
      </c>
      <c r="E608" t="s">
        <v>22</v>
      </c>
      <c r="F608" t="s">
        <v>52</v>
      </c>
      <c r="G608" t="s">
        <v>24</v>
      </c>
      <c r="H608">
        <v>14</v>
      </c>
      <c r="I608">
        <v>19195.45</v>
      </c>
      <c r="J608" s="2">
        <v>0.05</v>
      </c>
      <c r="K608" t="s">
        <v>25</v>
      </c>
      <c r="L608">
        <f>(Table1[[#This Row],[Quantity]]*Table1[[#This Row],[UnitPrice]])-(Table1[[#This Row],[Quantity]]*Table1[[#This Row],[UnitPrice]])*Table1[[#This Row],[Discount%]]</f>
        <v>255299.48499999999</v>
      </c>
      <c r="M608" t="str">
        <f>TEXT(Table1[[#This Row],[OrderDate]], "mmm")</f>
        <v>May</v>
      </c>
      <c r="N608" t="str">
        <f>IF(Table1[[#This Row],[TotalSales]]&gt;50000,"High",IF(L608&gt;20000,"Medium","Low"))</f>
        <v>High</v>
      </c>
      <c r="O608">
        <f>Table1[[#This Row],[TotalSales]]/Table1[[#This Row],[Quantity]]</f>
        <v>18235.677499999998</v>
      </c>
    </row>
    <row r="609" spans="1:15" x14ac:dyDescent="0.35">
      <c r="A609" t="s">
        <v>667</v>
      </c>
      <c r="B609" s="1">
        <v>45411</v>
      </c>
      <c r="C609" t="s">
        <v>20</v>
      </c>
      <c r="D609" t="s">
        <v>97</v>
      </c>
      <c r="E609" t="s">
        <v>22</v>
      </c>
      <c r="F609" t="s">
        <v>42</v>
      </c>
      <c r="G609" t="s">
        <v>83</v>
      </c>
      <c r="H609">
        <v>9</v>
      </c>
      <c r="I609">
        <v>32367.8</v>
      </c>
      <c r="J609" s="2">
        <v>0.1</v>
      </c>
      <c r="K609" t="s">
        <v>18</v>
      </c>
      <c r="L609">
        <v>262179.18</v>
      </c>
      <c r="M609" t="str">
        <f>TEXT(Table1[[#This Row],[OrderDate]], "mmm")</f>
        <v>Apr</v>
      </c>
      <c r="N609" t="str">
        <f>IF(Table1[[#This Row],[TotalSales]]&gt;50000,"High",IF(L609&gt;20000,"Medium","Low"))</f>
        <v>High</v>
      </c>
      <c r="O609">
        <f>Table1[[#This Row],[TotalSales]]/Table1[[#This Row],[Quantity]]</f>
        <v>29131.02</v>
      </c>
    </row>
    <row r="610" spans="1:15" x14ac:dyDescent="0.35">
      <c r="A610" t="s">
        <v>668</v>
      </c>
      <c r="B610" s="1">
        <v>45522</v>
      </c>
      <c r="C610" t="s">
        <v>20</v>
      </c>
      <c r="D610" t="s">
        <v>97</v>
      </c>
      <c r="E610" t="s">
        <v>34</v>
      </c>
      <c r="F610" t="s">
        <v>88</v>
      </c>
      <c r="G610" t="s">
        <v>30</v>
      </c>
      <c r="H610">
        <v>14</v>
      </c>
      <c r="I610">
        <v>30802.89</v>
      </c>
      <c r="J610" s="2">
        <v>0</v>
      </c>
      <c r="K610" t="s">
        <v>44</v>
      </c>
      <c r="L610">
        <v>431240.46</v>
      </c>
      <c r="M610" t="str">
        <f>TEXT(Table1[[#This Row],[OrderDate]], "mmm")</f>
        <v>Aug</v>
      </c>
      <c r="N610" t="str">
        <f>IF(Table1[[#This Row],[TotalSales]]&gt;50000,"High",IF(L610&gt;20000,"Medium","Low"))</f>
        <v>High</v>
      </c>
      <c r="O610">
        <f>Table1[[#This Row],[TotalSales]]/Table1[[#This Row],[Quantity]]</f>
        <v>30802.890000000003</v>
      </c>
    </row>
    <row r="611" spans="1:15" x14ac:dyDescent="0.35">
      <c r="A611" t="s">
        <v>669</v>
      </c>
      <c r="B611" s="1">
        <v>45643</v>
      </c>
      <c r="C611" t="s">
        <v>40</v>
      </c>
      <c r="D611" t="s">
        <v>41</v>
      </c>
      <c r="E611" t="s">
        <v>28</v>
      </c>
      <c r="F611" t="s">
        <v>125</v>
      </c>
      <c r="G611" t="s">
        <v>43</v>
      </c>
      <c r="H611">
        <v>13</v>
      </c>
      <c r="I611">
        <v>22304.61</v>
      </c>
      <c r="J611" s="2">
        <v>0.2</v>
      </c>
      <c r="K611" t="s">
        <v>18</v>
      </c>
      <c r="L611">
        <v>231967.94</v>
      </c>
      <c r="M611" t="str">
        <f>TEXT(Table1[[#This Row],[OrderDate]], "mmm")</f>
        <v>Dec</v>
      </c>
      <c r="N611" t="str">
        <f>IF(Table1[[#This Row],[TotalSales]]&gt;50000,"High",IF(L611&gt;20000,"Medium","Low"))</f>
        <v>High</v>
      </c>
      <c r="O611">
        <f>Table1[[#This Row],[TotalSales]]/Table1[[#This Row],[Quantity]]</f>
        <v>17843.687692307692</v>
      </c>
    </row>
    <row r="612" spans="1:15" x14ac:dyDescent="0.35">
      <c r="A612" t="s">
        <v>670</v>
      </c>
      <c r="B612" s="1">
        <v>45396</v>
      </c>
      <c r="C612" t="s">
        <v>40</v>
      </c>
      <c r="D612" t="s">
        <v>41</v>
      </c>
      <c r="E612" t="s">
        <v>22</v>
      </c>
      <c r="F612" t="s">
        <v>52</v>
      </c>
      <c r="G612" t="s">
        <v>49</v>
      </c>
      <c r="H612">
        <v>7</v>
      </c>
      <c r="I612">
        <v>3691.27</v>
      </c>
      <c r="J612" s="2">
        <v>0.05</v>
      </c>
      <c r="K612" t="s">
        <v>31</v>
      </c>
      <c r="L612">
        <v>24546.95</v>
      </c>
      <c r="M612" t="str">
        <f>TEXT(Table1[[#This Row],[OrderDate]], "mmm")</f>
        <v>Apr</v>
      </c>
      <c r="N612" t="str">
        <f>IF(Table1[[#This Row],[TotalSales]]&gt;50000,"High",IF(L612&gt;20000,"Medium","Low"))</f>
        <v>Medium</v>
      </c>
      <c r="O612">
        <f>Table1[[#This Row],[TotalSales]]/Table1[[#This Row],[Quantity]]</f>
        <v>3506.707142857143</v>
      </c>
    </row>
    <row r="613" spans="1:15" x14ac:dyDescent="0.35">
      <c r="A613" t="s">
        <v>671</v>
      </c>
      <c r="B613" s="1">
        <v>45644</v>
      </c>
      <c r="C613" t="s">
        <v>20</v>
      </c>
      <c r="D613" t="s">
        <v>27</v>
      </c>
      <c r="E613" t="s">
        <v>22</v>
      </c>
      <c r="F613" t="s">
        <v>23</v>
      </c>
      <c r="G613" t="s">
        <v>49</v>
      </c>
      <c r="H613">
        <v>10</v>
      </c>
      <c r="I613">
        <v>26976.01</v>
      </c>
      <c r="J613" s="2">
        <v>0</v>
      </c>
      <c r="K613" t="s">
        <v>31</v>
      </c>
      <c r="L613">
        <v>269760.09999999998</v>
      </c>
      <c r="M613" t="str">
        <f>TEXT(Table1[[#This Row],[OrderDate]], "mmm")</f>
        <v>Dec</v>
      </c>
      <c r="N613" t="str">
        <f>IF(Table1[[#This Row],[TotalSales]]&gt;50000,"High",IF(L613&gt;20000,"Medium","Low"))</f>
        <v>High</v>
      </c>
      <c r="O613">
        <f>Table1[[#This Row],[TotalSales]]/Table1[[#This Row],[Quantity]]</f>
        <v>26976.01</v>
      </c>
    </row>
    <row r="614" spans="1:15" x14ac:dyDescent="0.35">
      <c r="A614" t="s">
        <v>672</v>
      </c>
      <c r="B614" s="1">
        <v>45297</v>
      </c>
      <c r="C614" t="s">
        <v>13</v>
      </c>
      <c r="D614" t="s">
        <v>33</v>
      </c>
      <c r="E614" t="s">
        <v>34</v>
      </c>
      <c r="F614" t="s">
        <v>35</v>
      </c>
      <c r="G614" t="s">
        <v>17</v>
      </c>
      <c r="H614">
        <v>3</v>
      </c>
      <c r="I614">
        <v>18107.11</v>
      </c>
      <c r="J614" s="2">
        <v>0.05</v>
      </c>
      <c r="K614" t="s">
        <v>25</v>
      </c>
      <c r="L614">
        <v>51605.26</v>
      </c>
      <c r="M614" t="str">
        <f>TEXT(Table1[[#This Row],[OrderDate]], "mmm")</f>
        <v>Jan</v>
      </c>
      <c r="N614" t="str">
        <f>IF(Table1[[#This Row],[TotalSales]]&gt;50000,"High",IF(L614&gt;20000,"Medium","Low"))</f>
        <v>High</v>
      </c>
      <c r="O614">
        <f>Table1[[#This Row],[TotalSales]]/Table1[[#This Row],[Quantity]]</f>
        <v>17201.753333333334</v>
      </c>
    </row>
    <row r="615" spans="1:15" x14ac:dyDescent="0.35">
      <c r="A615" t="s">
        <v>673</v>
      </c>
      <c r="B615" s="1">
        <v>45513</v>
      </c>
      <c r="C615" t="s">
        <v>20</v>
      </c>
      <c r="D615" t="s">
        <v>97</v>
      </c>
      <c r="E615" t="s">
        <v>22</v>
      </c>
      <c r="F615" t="s">
        <v>42</v>
      </c>
      <c r="G615" t="s">
        <v>30</v>
      </c>
      <c r="H615">
        <v>14</v>
      </c>
      <c r="I615">
        <v>39090</v>
      </c>
      <c r="J615" s="2">
        <v>0.05</v>
      </c>
      <c r="K615" t="s">
        <v>44</v>
      </c>
      <c r="L615">
        <v>519897</v>
      </c>
      <c r="M615" t="str">
        <f>TEXT(Table1[[#This Row],[OrderDate]], "mmm")</f>
        <v>Aug</v>
      </c>
      <c r="N615" t="str">
        <f>IF(Table1[[#This Row],[TotalSales]]&gt;50000,"High",IF(L615&gt;20000,"Medium","Low"))</f>
        <v>High</v>
      </c>
      <c r="O615">
        <f>Table1[[#This Row],[TotalSales]]/Table1[[#This Row],[Quantity]]</f>
        <v>37135.5</v>
      </c>
    </row>
    <row r="616" spans="1:15" x14ac:dyDescent="0.35">
      <c r="A616" t="s">
        <v>674</v>
      </c>
      <c r="B616" s="1">
        <v>45324</v>
      </c>
      <c r="C616" t="s">
        <v>20</v>
      </c>
      <c r="D616" t="s">
        <v>97</v>
      </c>
      <c r="E616" t="s">
        <v>22</v>
      </c>
      <c r="F616" t="s">
        <v>23</v>
      </c>
      <c r="G616" t="s">
        <v>30</v>
      </c>
      <c r="H616">
        <v>14</v>
      </c>
      <c r="I616">
        <v>22078.18</v>
      </c>
      <c r="J616" s="2">
        <v>0.2</v>
      </c>
      <c r="K616" t="s">
        <v>31</v>
      </c>
      <c r="L616">
        <v>247275.62</v>
      </c>
      <c r="M616" t="str">
        <f>TEXT(Table1[[#This Row],[OrderDate]], "mmm")</f>
        <v>Feb</v>
      </c>
      <c r="N616" t="str">
        <f>IF(Table1[[#This Row],[TotalSales]]&gt;50000,"High",IF(L616&gt;20000,"Medium","Low"))</f>
        <v>High</v>
      </c>
      <c r="O616">
        <f>Table1[[#This Row],[TotalSales]]/Table1[[#This Row],[Quantity]]</f>
        <v>17662.544285714284</v>
      </c>
    </row>
    <row r="617" spans="1:15" x14ac:dyDescent="0.35">
      <c r="A617" t="s">
        <v>675</v>
      </c>
      <c r="B617" s="1">
        <v>45650</v>
      </c>
      <c r="C617" t="s">
        <v>40</v>
      </c>
      <c r="D617" t="s">
        <v>41</v>
      </c>
      <c r="E617" t="s">
        <v>15</v>
      </c>
      <c r="F617" t="s">
        <v>56</v>
      </c>
      <c r="G617" t="s">
        <v>24</v>
      </c>
      <c r="H617">
        <v>14</v>
      </c>
      <c r="I617">
        <v>39198.31</v>
      </c>
      <c r="J617" s="2">
        <v>0</v>
      </c>
      <c r="K617" t="s">
        <v>25</v>
      </c>
      <c r="L617">
        <v>548776.34</v>
      </c>
      <c r="M617" t="str">
        <f>TEXT(Table1[[#This Row],[OrderDate]], "mmm")</f>
        <v>Dec</v>
      </c>
      <c r="N617" t="str">
        <f>IF(Table1[[#This Row],[TotalSales]]&gt;50000,"High",IF(L617&gt;20000,"Medium","Low"))</f>
        <v>High</v>
      </c>
      <c r="O617">
        <f>Table1[[#This Row],[TotalSales]]/Table1[[#This Row],[Quantity]]</f>
        <v>39198.31</v>
      </c>
    </row>
    <row r="618" spans="1:15" x14ac:dyDescent="0.35">
      <c r="A618" t="s">
        <v>676</v>
      </c>
      <c r="B618" s="1">
        <v>45583</v>
      </c>
      <c r="C618" t="s">
        <v>20</v>
      </c>
      <c r="D618" t="s">
        <v>21</v>
      </c>
      <c r="E618" t="s">
        <v>34</v>
      </c>
      <c r="F618" t="s">
        <v>88</v>
      </c>
      <c r="G618" t="s">
        <v>49</v>
      </c>
      <c r="H618">
        <v>2</v>
      </c>
      <c r="I618">
        <v>21766.61</v>
      </c>
      <c r="J618" s="2">
        <v>0</v>
      </c>
      <c r="K618" t="s">
        <v>31</v>
      </c>
      <c r="L618">
        <v>43533.22</v>
      </c>
      <c r="M618" t="str">
        <f>TEXT(Table1[[#This Row],[OrderDate]], "mmm")</f>
        <v>Oct</v>
      </c>
      <c r="N618" t="str">
        <f>IF(Table1[[#This Row],[TotalSales]]&gt;50000,"High",IF(L618&gt;20000,"Medium","Low"))</f>
        <v>Medium</v>
      </c>
      <c r="O618">
        <f>Table1[[#This Row],[TotalSales]]/Table1[[#This Row],[Quantity]]</f>
        <v>21766.61</v>
      </c>
    </row>
    <row r="619" spans="1:15" x14ac:dyDescent="0.35">
      <c r="A619" t="s">
        <v>677</v>
      </c>
      <c r="B619" s="1">
        <v>45354</v>
      </c>
      <c r="C619" t="s">
        <v>40</v>
      </c>
      <c r="D619" t="s">
        <v>51</v>
      </c>
      <c r="E619" t="s">
        <v>22</v>
      </c>
      <c r="F619" t="s">
        <v>82</v>
      </c>
      <c r="G619" t="s">
        <v>69</v>
      </c>
      <c r="H619">
        <v>6</v>
      </c>
      <c r="I619">
        <v>4394.04</v>
      </c>
      <c r="J619" s="2">
        <v>0</v>
      </c>
      <c r="K619" t="s">
        <v>31</v>
      </c>
      <c r="L619">
        <v>26364.240000000002</v>
      </c>
      <c r="M619" t="str">
        <f>TEXT(Table1[[#This Row],[OrderDate]], "mmm")</f>
        <v>Mar</v>
      </c>
      <c r="N619" t="str">
        <f>IF(Table1[[#This Row],[TotalSales]]&gt;50000,"High",IF(L619&gt;20000,"Medium","Low"))</f>
        <v>Medium</v>
      </c>
      <c r="O619">
        <f>Table1[[#This Row],[TotalSales]]/Table1[[#This Row],[Quantity]]</f>
        <v>4394.04</v>
      </c>
    </row>
    <row r="620" spans="1:15" x14ac:dyDescent="0.35">
      <c r="A620" t="s">
        <v>678</v>
      </c>
      <c r="B620" s="1">
        <v>45647</v>
      </c>
      <c r="C620" t="s">
        <v>46</v>
      </c>
      <c r="D620" t="s">
        <v>71</v>
      </c>
      <c r="E620" t="s">
        <v>34</v>
      </c>
      <c r="F620" t="s">
        <v>35</v>
      </c>
      <c r="G620" t="s">
        <v>49</v>
      </c>
      <c r="H620">
        <v>11</v>
      </c>
      <c r="I620">
        <v>41285.54</v>
      </c>
      <c r="J620" s="2">
        <v>0.05</v>
      </c>
      <c r="K620" t="s">
        <v>31</v>
      </c>
      <c r="L620">
        <v>431433.89</v>
      </c>
      <c r="M620" t="str">
        <f>TEXT(Table1[[#This Row],[OrderDate]], "mmm")</f>
        <v>Dec</v>
      </c>
      <c r="N620" t="str">
        <f>IF(Table1[[#This Row],[TotalSales]]&gt;50000,"High",IF(L620&gt;20000,"Medium","Low"))</f>
        <v>High</v>
      </c>
      <c r="O620">
        <f>Table1[[#This Row],[TotalSales]]/Table1[[#This Row],[Quantity]]</f>
        <v>39221.262727272726</v>
      </c>
    </row>
    <row r="621" spans="1:15" x14ac:dyDescent="0.35">
      <c r="A621" t="s">
        <v>679</v>
      </c>
      <c r="B621" s="1">
        <v>45528</v>
      </c>
      <c r="C621" t="s">
        <v>40</v>
      </c>
      <c r="D621" t="s">
        <v>41</v>
      </c>
      <c r="E621" t="s">
        <v>22</v>
      </c>
      <c r="F621" t="s">
        <v>52</v>
      </c>
      <c r="G621" t="s">
        <v>24</v>
      </c>
      <c r="H621">
        <v>2</v>
      </c>
      <c r="I621">
        <v>4723.66</v>
      </c>
      <c r="J621" s="2">
        <v>0.15</v>
      </c>
      <c r="K621" t="s">
        <v>18</v>
      </c>
      <c r="L621">
        <v>8030.22</v>
      </c>
      <c r="M621" t="str">
        <f>TEXT(Table1[[#This Row],[OrderDate]], "mmm")</f>
        <v>Aug</v>
      </c>
      <c r="N621" t="str">
        <f>IF(Table1[[#This Row],[TotalSales]]&gt;50000,"High",IF(L621&gt;20000,"Medium","Low"))</f>
        <v>Low</v>
      </c>
      <c r="O621">
        <f>Table1[[#This Row],[TotalSales]]/Table1[[#This Row],[Quantity]]</f>
        <v>4015.11</v>
      </c>
    </row>
    <row r="622" spans="1:15" x14ac:dyDescent="0.35">
      <c r="A622" t="s">
        <v>680</v>
      </c>
      <c r="B622" s="1">
        <v>45355</v>
      </c>
      <c r="C622" t="s">
        <v>20</v>
      </c>
      <c r="D622" t="s">
        <v>97</v>
      </c>
      <c r="E622" t="s">
        <v>15</v>
      </c>
      <c r="F622" t="s">
        <v>16</v>
      </c>
      <c r="G622" t="s">
        <v>83</v>
      </c>
      <c r="H622">
        <v>9</v>
      </c>
      <c r="I622">
        <v>40831.269999999997</v>
      </c>
      <c r="J622" s="2">
        <v>0</v>
      </c>
      <c r="K622" t="s">
        <v>18</v>
      </c>
      <c r="L622">
        <v>367481.43</v>
      </c>
      <c r="M622" t="str">
        <f>TEXT(Table1[[#This Row],[OrderDate]], "mmm")</f>
        <v>Mar</v>
      </c>
      <c r="N622" t="str">
        <f>IF(Table1[[#This Row],[TotalSales]]&gt;50000,"High",IF(L622&gt;20000,"Medium","Low"))</f>
        <v>High</v>
      </c>
      <c r="O622">
        <f>Table1[[#This Row],[TotalSales]]/Table1[[#This Row],[Quantity]]</f>
        <v>40831.269999999997</v>
      </c>
    </row>
    <row r="623" spans="1:15" x14ac:dyDescent="0.35">
      <c r="A623" t="s">
        <v>681</v>
      </c>
      <c r="B623" s="1">
        <v>45648</v>
      </c>
      <c r="C623" t="s">
        <v>20</v>
      </c>
      <c r="D623" t="s">
        <v>97</v>
      </c>
      <c r="E623" t="s">
        <v>22</v>
      </c>
      <c r="F623" t="s">
        <v>23</v>
      </c>
      <c r="G623" t="s">
        <v>49</v>
      </c>
      <c r="H623">
        <v>1</v>
      </c>
      <c r="I623">
        <v>46040.26</v>
      </c>
      <c r="J623" s="2">
        <v>0.2</v>
      </c>
      <c r="K623" t="s">
        <v>25</v>
      </c>
      <c r="L623">
        <v>36832.21</v>
      </c>
      <c r="M623" t="str">
        <f>TEXT(Table1[[#This Row],[OrderDate]], "mmm")</f>
        <v>Dec</v>
      </c>
      <c r="N623" t="str">
        <f>IF(Table1[[#This Row],[TotalSales]]&gt;50000,"High",IF(L623&gt;20000,"Medium","Low"))</f>
        <v>Medium</v>
      </c>
      <c r="O623">
        <f>Table1[[#This Row],[TotalSales]]/Table1[[#This Row],[Quantity]]</f>
        <v>36832.21</v>
      </c>
    </row>
    <row r="624" spans="1:15" x14ac:dyDescent="0.35">
      <c r="A624" t="s">
        <v>682</v>
      </c>
      <c r="B624" s="1">
        <v>45395</v>
      </c>
      <c r="C624" t="s">
        <v>46</v>
      </c>
      <c r="D624" t="s">
        <v>79</v>
      </c>
      <c r="E624" t="s">
        <v>15</v>
      </c>
      <c r="F624" t="s">
        <v>16</v>
      </c>
      <c r="G624" t="s">
        <v>69</v>
      </c>
      <c r="H624">
        <v>15</v>
      </c>
      <c r="I624">
        <v>13883.55</v>
      </c>
      <c r="J624" s="2">
        <v>0</v>
      </c>
      <c r="K624" t="s">
        <v>31</v>
      </c>
      <c r="L624">
        <f>(Table1[[#This Row],[Quantity]]*Table1[[#This Row],[UnitPrice]])-(Table1[[#This Row],[Quantity]]*Table1[[#This Row],[UnitPrice]])*Table1[[#This Row],[Discount%]]</f>
        <v>208253.25</v>
      </c>
      <c r="M624" t="str">
        <f>TEXT(Table1[[#This Row],[OrderDate]], "mmm")</f>
        <v>Apr</v>
      </c>
      <c r="N624" t="str">
        <f>IF(Table1[[#This Row],[TotalSales]]&gt;50000,"High",IF(L624&gt;20000,"Medium","Low"))</f>
        <v>High</v>
      </c>
      <c r="O624">
        <f>Table1[[#This Row],[TotalSales]]/Table1[[#This Row],[Quantity]]</f>
        <v>13883.55</v>
      </c>
    </row>
    <row r="625" spans="1:15" x14ac:dyDescent="0.35">
      <c r="A625" t="s">
        <v>683</v>
      </c>
      <c r="B625" s="1">
        <v>45377</v>
      </c>
      <c r="C625" t="s">
        <v>20</v>
      </c>
      <c r="D625" t="s">
        <v>21</v>
      </c>
      <c r="E625" t="s">
        <v>22</v>
      </c>
      <c r="F625" t="s">
        <v>23</v>
      </c>
      <c r="G625" t="s">
        <v>66</v>
      </c>
      <c r="H625">
        <v>1</v>
      </c>
      <c r="I625">
        <v>22979.26</v>
      </c>
      <c r="J625" s="2">
        <v>0</v>
      </c>
      <c r="K625" t="s">
        <v>25</v>
      </c>
      <c r="L625">
        <v>22979.26</v>
      </c>
      <c r="M625" t="str">
        <f>TEXT(Table1[[#This Row],[OrderDate]], "mmm")</f>
        <v>Mar</v>
      </c>
      <c r="N625" t="str">
        <f>IF(Table1[[#This Row],[TotalSales]]&gt;50000,"High",IF(L625&gt;20000,"Medium","Low"))</f>
        <v>Medium</v>
      </c>
      <c r="O625">
        <f>Table1[[#This Row],[TotalSales]]/Table1[[#This Row],[Quantity]]</f>
        <v>22979.26</v>
      </c>
    </row>
    <row r="626" spans="1:15" x14ac:dyDescent="0.35">
      <c r="A626" t="s">
        <v>684</v>
      </c>
      <c r="B626" s="1">
        <v>45474</v>
      </c>
      <c r="C626" t="s">
        <v>20</v>
      </c>
      <c r="D626" t="s">
        <v>27</v>
      </c>
      <c r="E626" t="s">
        <v>15</v>
      </c>
      <c r="F626" t="s">
        <v>59</v>
      </c>
      <c r="G626" t="s">
        <v>49</v>
      </c>
      <c r="H626">
        <v>6</v>
      </c>
      <c r="I626">
        <v>9714.4599999999991</v>
      </c>
      <c r="J626" s="2">
        <v>0.05</v>
      </c>
      <c r="K626" t="s">
        <v>44</v>
      </c>
      <c r="L626">
        <v>55372.42</v>
      </c>
      <c r="M626" t="str">
        <f>TEXT(Table1[[#This Row],[OrderDate]], "mmm")</f>
        <v>Jul</v>
      </c>
      <c r="N626" t="str">
        <f>IF(Table1[[#This Row],[TotalSales]]&gt;50000,"High",IF(L626&gt;20000,"Medium","Low"))</f>
        <v>High</v>
      </c>
      <c r="O626">
        <f>Table1[[#This Row],[TotalSales]]/Table1[[#This Row],[Quantity]]</f>
        <v>9228.7366666666658</v>
      </c>
    </row>
    <row r="627" spans="1:15" x14ac:dyDescent="0.35">
      <c r="A627" t="s">
        <v>685</v>
      </c>
      <c r="B627" s="1">
        <v>45446</v>
      </c>
      <c r="C627" t="s">
        <v>20</v>
      </c>
      <c r="D627" t="s">
        <v>97</v>
      </c>
      <c r="E627" t="s">
        <v>15</v>
      </c>
      <c r="F627" t="s">
        <v>16</v>
      </c>
      <c r="G627" t="s">
        <v>49</v>
      </c>
      <c r="H627">
        <v>13</v>
      </c>
      <c r="I627">
        <v>33018.03</v>
      </c>
      <c r="J627" s="2">
        <v>0</v>
      </c>
      <c r="K627" t="s">
        <v>31</v>
      </c>
      <c r="L627">
        <v>429234.39</v>
      </c>
      <c r="M627" t="str">
        <f>TEXT(Table1[[#This Row],[OrderDate]], "mmm")</f>
        <v>Jun</v>
      </c>
      <c r="N627" t="str">
        <f>IF(Table1[[#This Row],[TotalSales]]&gt;50000,"High",IF(L627&gt;20000,"Medium","Low"))</f>
        <v>High</v>
      </c>
      <c r="O627">
        <f>Table1[[#This Row],[TotalSales]]/Table1[[#This Row],[Quantity]]</f>
        <v>33018.03</v>
      </c>
    </row>
    <row r="628" spans="1:15" x14ac:dyDescent="0.35">
      <c r="A628" t="s">
        <v>686</v>
      </c>
      <c r="B628" s="1">
        <v>45381</v>
      </c>
      <c r="C628" t="s">
        <v>20</v>
      </c>
      <c r="D628" t="s">
        <v>97</v>
      </c>
      <c r="E628" t="s">
        <v>28</v>
      </c>
      <c r="F628" t="s">
        <v>104</v>
      </c>
      <c r="G628" t="s">
        <v>30</v>
      </c>
      <c r="H628">
        <v>11</v>
      </c>
      <c r="I628">
        <v>41942.050000000003</v>
      </c>
      <c r="J628" s="2">
        <v>0.15</v>
      </c>
      <c r="K628" t="s">
        <v>25</v>
      </c>
      <c r="L628">
        <v>392158.17</v>
      </c>
      <c r="M628" t="str">
        <f>TEXT(Table1[[#This Row],[OrderDate]], "mmm")</f>
        <v>Mar</v>
      </c>
      <c r="N628" t="str">
        <f>IF(Table1[[#This Row],[TotalSales]]&gt;50000,"High",IF(L628&gt;20000,"Medium","Low"))</f>
        <v>High</v>
      </c>
      <c r="O628">
        <f>Table1[[#This Row],[TotalSales]]/Table1[[#This Row],[Quantity]]</f>
        <v>35650.742727272729</v>
      </c>
    </row>
    <row r="629" spans="1:15" x14ac:dyDescent="0.35">
      <c r="A629" t="s">
        <v>687</v>
      </c>
      <c r="B629" s="1">
        <v>45607</v>
      </c>
      <c r="C629" t="s">
        <v>20</v>
      </c>
      <c r="D629" t="s">
        <v>27</v>
      </c>
      <c r="E629" t="s">
        <v>22</v>
      </c>
      <c r="F629" t="s">
        <v>23</v>
      </c>
      <c r="G629" t="s">
        <v>24</v>
      </c>
      <c r="H629">
        <v>13</v>
      </c>
      <c r="I629">
        <v>49343.51</v>
      </c>
      <c r="J629" s="2">
        <v>0</v>
      </c>
      <c r="K629" t="s">
        <v>44</v>
      </c>
      <c r="L629">
        <v>641465.63</v>
      </c>
      <c r="M629" t="str">
        <f>TEXT(Table1[[#This Row],[OrderDate]], "mmm")</f>
        <v>Nov</v>
      </c>
      <c r="N629" t="str">
        <f>IF(Table1[[#This Row],[TotalSales]]&gt;50000,"High",IF(L629&gt;20000,"Medium","Low"))</f>
        <v>High</v>
      </c>
      <c r="O629">
        <f>Table1[[#This Row],[TotalSales]]/Table1[[#This Row],[Quantity]]</f>
        <v>49343.51</v>
      </c>
    </row>
    <row r="630" spans="1:15" x14ac:dyDescent="0.35">
      <c r="A630" t="s">
        <v>688</v>
      </c>
      <c r="B630" s="1">
        <v>45484</v>
      </c>
      <c r="C630" t="s">
        <v>20</v>
      </c>
      <c r="D630" t="s">
        <v>27</v>
      </c>
      <c r="E630" t="s">
        <v>34</v>
      </c>
      <c r="F630" t="s">
        <v>48</v>
      </c>
      <c r="G630" t="s">
        <v>83</v>
      </c>
      <c r="H630">
        <v>4</v>
      </c>
      <c r="I630">
        <v>35383.730000000003</v>
      </c>
      <c r="J630" s="2">
        <v>0</v>
      </c>
      <c r="K630" t="s">
        <v>18</v>
      </c>
      <c r="L630">
        <v>141534.92000000001</v>
      </c>
      <c r="M630" t="str">
        <f>TEXT(Table1[[#This Row],[OrderDate]], "mmm")</f>
        <v>Jul</v>
      </c>
      <c r="N630" t="str">
        <f>IF(Table1[[#This Row],[TotalSales]]&gt;50000,"High",IF(L630&gt;20000,"Medium","Low"))</f>
        <v>High</v>
      </c>
      <c r="O630">
        <f>Table1[[#This Row],[TotalSales]]/Table1[[#This Row],[Quantity]]</f>
        <v>35383.730000000003</v>
      </c>
    </row>
    <row r="631" spans="1:15" x14ac:dyDescent="0.35">
      <c r="A631" t="s">
        <v>689</v>
      </c>
      <c r="B631" s="1">
        <v>45504</v>
      </c>
      <c r="C631" t="s">
        <v>46</v>
      </c>
      <c r="D631" t="s">
        <v>71</v>
      </c>
      <c r="E631" t="s">
        <v>28</v>
      </c>
      <c r="F631" t="s">
        <v>29</v>
      </c>
      <c r="G631" t="s">
        <v>43</v>
      </c>
      <c r="H631">
        <v>11</v>
      </c>
      <c r="I631">
        <v>44736.54</v>
      </c>
      <c r="J631" s="2">
        <v>0.2</v>
      </c>
      <c r="K631" t="s">
        <v>18</v>
      </c>
      <c r="L631">
        <v>393681.55</v>
      </c>
      <c r="M631" t="str">
        <f>TEXT(Table1[[#This Row],[OrderDate]], "mmm")</f>
        <v>Jul</v>
      </c>
      <c r="N631" t="str">
        <f>IF(Table1[[#This Row],[TotalSales]]&gt;50000,"High",IF(L631&gt;20000,"Medium","Low"))</f>
        <v>High</v>
      </c>
      <c r="O631">
        <f>Table1[[#This Row],[TotalSales]]/Table1[[#This Row],[Quantity]]</f>
        <v>35789.231818181819</v>
      </c>
    </row>
    <row r="632" spans="1:15" x14ac:dyDescent="0.35">
      <c r="A632" t="s">
        <v>690</v>
      </c>
      <c r="B632" s="1">
        <v>45518</v>
      </c>
      <c r="C632" t="s">
        <v>13</v>
      </c>
      <c r="D632" t="s">
        <v>14</v>
      </c>
      <c r="E632" t="s">
        <v>22</v>
      </c>
      <c r="F632" t="s">
        <v>82</v>
      </c>
      <c r="G632" t="s">
        <v>69</v>
      </c>
      <c r="H632">
        <v>11</v>
      </c>
      <c r="I632">
        <v>531.14</v>
      </c>
      <c r="J632" s="2">
        <v>0.2</v>
      </c>
      <c r="K632" t="s">
        <v>18</v>
      </c>
      <c r="L632">
        <v>4674.03</v>
      </c>
      <c r="M632" t="str">
        <f>TEXT(Table1[[#This Row],[OrderDate]], "mmm")</f>
        <v>Aug</v>
      </c>
      <c r="N632" t="str">
        <f>IF(Table1[[#This Row],[TotalSales]]&gt;50000,"High",IF(L632&gt;20000,"Medium","Low"))</f>
        <v>Low</v>
      </c>
      <c r="O632">
        <f>Table1[[#This Row],[TotalSales]]/Table1[[#This Row],[Quantity]]</f>
        <v>424.91181818181815</v>
      </c>
    </row>
    <row r="633" spans="1:15" x14ac:dyDescent="0.35">
      <c r="A633" t="s">
        <v>691</v>
      </c>
      <c r="B633" s="1">
        <v>45551</v>
      </c>
      <c r="C633" t="s">
        <v>20</v>
      </c>
      <c r="D633" t="s">
        <v>27</v>
      </c>
      <c r="E633" t="s">
        <v>15</v>
      </c>
      <c r="F633" t="s">
        <v>59</v>
      </c>
      <c r="G633" t="s">
        <v>69</v>
      </c>
      <c r="H633">
        <v>2</v>
      </c>
      <c r="I633">
        <v>23557.94</v>
      </c>
      <c r="J633" s="2">
        <v>0.05</v>
      </c>
      <c r="K633" t="s">
        <v>44</v>
      </c>
      <c r="L633">
        <v>44760.09</v>
      </c>
      <c r="M633" t="str">
        <f>TEXT(Table1[[#This Row],[OrderDate]], "mmm")</f>
        <v>Sep</v>
      </c>
      <c r="N633" t="str">
        <f>IF(Table1[[#This Row],[TotalSales]]&gt;50000,"High",IF(L633&gt;20000,"Medium","Low"))</f>
        <v>Medium</v>
      </c>
      <c r="O633">
        <f>Table1[[#This Row],[TotalSales]]/Table1[[#This Row],[Quantity]]</f>
        <v>22380.044999999998</v>
      </c>
    </row>
    <row r="634" spans="1:15" x14ac:dyDescent="0.35">
      <c r="A634" t="s">
        <v>692</v>
      </c>
      <c r="B634" s="1">
        <v>45538</v>
      </c>
      <c r="C634" t="s">
        <v>20</v>
      </c>
      <c r="D634" t="s">
        <v>97</v>
      </c>
      <c r="E634" t="s">
        <v>28</v>
      </c>
      <c r="F634" t="s">
        <v>104</v>
      </c>
      <c r="G634" t="s">
        <v>66</v>
      </c>
      <c r="H634">
        <v>2</v>
      </c>
      <c r="I634">
        <v>52315.519999999997</v>
      </c>
      <c r="J634" s="2">
        <v>0</v>
      </c>
      <c r="K634" t="s">
        <v>18</v>
      </c>
      <c r="L634">
        <v>104631.03999999999</v>
      </c>
      <c r="M634" t="str">
        <f>TEXT(Table1[[#This Row],[OrderDate]], "mmm")</f>
        <v>Sep</v>
      </c>
      <c r="N634" t="str">
        <f>IF(Table1[[#This Row],[TotalSales]]&gt;50000,"High",IF(L634&gt;20000,"Medium","Low"))</f>
        <v>High</v>
      </c>
      <c r="O634">
        <f>Table1[[#This Row],[TotalSales]]/Table1[[#This Row],[Quantity]]</f>
        <v>52315.519999999997</v>
      </c>
    </row>
    <row r="635" spans="1:15" x14ac:dyDescent="0.35">
      <c r="A635" t="s">
        <v>693</v>
      </c>
      <c r="B635" s="1">
        <v>45334</v>
      </c>
      <c r="C635" t="s">
        <v>40</v>
      </c>
      <c r="D635" t="s">
        <v>41</v>
      </c>
      <c r="E635" t="s">
        <v>34</v>
      </c>
      <c r="F635" t="s">
        <v>35</v>
      </c>
      <c r="G635" t="s">
        <v>30</v>
      </c>
      <c r="H635">
        <v>13</v>
      </c>
      <c r="I635">
        <v>49873.85</v>
      </c>
      <c r="J635" s="2">
        <v>0</v>
      </c>
      <c r="K635" t="s">
        <v>44</v>
      </c>
      <c r="L635">
        <v>648360.05000000005</v>
      </c>
      <c r="M635" t="str">
        <f>TEXT(Table1[[#This Row],[OrderDate]], "mmm")</f>
        <v>Feb</v>
      </c>
      <c r="N635" t="str">
        <f>IF(Table1[[#This Row],[TotalSales]]&gt;50000,"High",IF(L635&gt;20000,"Medium","Low"))</f>
        <v>High</v>
      </c>
      <c r="O635">
        <f>Table1[[#This Row],[TotalSales]]/Table1[[#This Row],[Quantity]]</f>
        <v>49873.850000000006</v>
      </c>
    </row>
    <row r="636" spans="1:15" x14ac:dyDescent="0.35">
      <c r="A636" t="s">
        <v>694</v>
      </c>
      <c r="B636" s="1">
        <v>45602</v>
      </c>
      <c r="C636" t="s">
        <v>40</v>
      </c>
      <c r="D636" t="s">
        <v>51</v>
      </c>
      <c r="E636" t="s">
        <v>34</v>
      </c>
      <c r="F636" t="s">
        <v>48</v>
      </c>
      <c r="G636" t="s">
        <v>83</v>
      </c>
      <c r="H636">
        <v>8</v>
      </c>
      <c r="I636">
        <v>4142.29</v>
      </c>
      <c r="J636" s="2">
        <v>0</v>
      </c>
      <c r="K636" t="s">
        <v>25</v>
      </c>
      <c r="L636">
        <f>(Table1[[#This Row],[Quantity]]*Table1[[#This Row],[UnitPrice]])-(Table1[[#This Row],[Quantity]]*Table1[[#This Row],[UnitPrice]])*Table1[[#This Row],[Discount%]]</f>
        <v>33138.32</v>
      </c>
      <c r="M636" t="str">
        <f>TEXT(Table1[[#This Row],[OrderDate]], "mmm")</f>
        <v>Nov</v>
      </c>
      <c r="N636" t="str">
        <f>IF(Table1[[#This Row],[TotalSales]]&gt;50000,"High",IF(L636&gt;20000,"Medium","Low"))</f>
        <v>Medium</v>
      </c>
      <c r="O636">
        <f>Table1[[#This Row],[TotalSales]]/Table1[[#This Row],[Quantity]]</f>
        <v>4142.29</v>
      </c>
    </row>
    <row r="637" spans="1:15" x14ac:dyDescent="0.35">
      <c r="A637" t="s">
        <v>695</v>
      </c>
      <c r="B637" s="1">
        <v>45483</v>
      </c>
      <c r="C637" t="s">
        <v>40</v>
      </c>
      <c r="D637" t="s">
        <v>51</v>
      </c>
      <c r="E637" t="s">
        <v>34</v>
      </c>
      <c r="F637" t="s">
        <v>88</v>
      </c>
      <c r="G637" t="s">
        <v>17</v>
      </c>
      <c r="H637">
        <v>7</v>
      </c>
      <c r="I637">
        <v>27027.4</v>
      </c>
      <c r="J637" s="2">
        <v>0.15</v>
      </c>
      <c r="K637" t="s">
        <v>25</v>
      </c>
      <c r="L637">
        <v>160813.03</v>
      </c>
      <c r="M637" t="str">
        <f>TEXT(Table1[[#This Row],[OrderDate]], "mmm")</f>
        <v>Jul</v>
      </c>
      <c r="N637" t="str">
        <f>IF(Table1[[#This Row],[TotalSales]]&gt;50000,"High",IF(L637&gt;20000,"Medium","Low"))</f>
        <v>High</v>
      </c>
      <c r="O637">
        <f>Table1[[#This Row],[TotalSales]]/Table1[[#This Row],[Quantity]]</f>
        <v>22973.29</v>
      </c>
    </row>
    <row r="638" spans="1:15" x14ac:dyDescent="0.35">
      <c r="A638" t="s">
        <v>696</v>
      </c>
      <c r="B638" s="1">
        <v>45470</v>
      </c>
      <c r="C638" t="s">
        <v>40</v>
      </c>
      <c r="D638" t="s">
        <v>41</v>
      </c>
      <c r="E638" t="s">
        <v>22</v>
      </c>
      <c r="F638" t="s">
        <v>42</v>
      </c>
      <c r="G638" t="s">
        <v>69</v>
      </c>
      <c r="H638">
        <v>9</v>
      </c>
      <c r="I638">
        <v>39060.239999999998</v>
      </c>
      <c r="J638" s="2">
        <v>0.15</v>
      </c>
      <c r="K638" t="s">
        <v>18</v>
      </c>
      <c r="L638">
        <v>298810.84000000003</v>
      </c>
      <c r="M638" t="str">
        <f>TEXT(Table1[[#This Row],[OrderDate]], "mmm")</f>
        <v>Jun</v>
      </c>
      <c r="N638" t="str">
        <f>IF(Table1[[#This Row],[TotalSales]]&gt;50000,"High",IF(L638&gt;20000,"Medium","Low"))</f>
        <v>High</v>
      </c>
      <c r="O638">
        <f>Table1[[#This Row],[TotalSales]]/Table1[[#This Row],[Quantity]]</f>
        <v>33201.204444444447</v>
      </c>
    </row>
    <row r="639" spans="1:15" x14ac:dyDescent="0.35">
      <c r="A639" t="s">
        <v>697</v>
      </c>
      <c r="B639" s="1">
        <v>45653</v>
      </c>
      <c r="C639" t="s">
        <v>13</v>
      </c>
      <c r="D639" t="s">
        <v>33</v>
      </c>
      <c r="E639" t="s">
        <v>34</v>
      </c>
      <c r="F639" t="s">
        <v>35</v>
      </c>
      <c r="G639" t="s">
        <v>49</v>
      </c>
      <c r="H639">
        <v>11</v>
      </c>
      <c r="I639">
        <v>1748.43</v>
      </c>
      <c r="J639" s="2">
        <v>0.15</v>
      </c>
      <c r="K639" t="s">
        <v>18</v>
      </c>
      <c r="L639">
        <v>16347.82</v>
      </c>
      <c r="M639" t="str">
        <f>TEXT(Table1[[#This Row],[OrderDate]], "mmm")</f>
        <v>Dec</v>
      </c>
      <c r="N639" t="str">
        <f>IF(Table1[[#This Row],[TotalSales]]&gt;50000,"High",IF(L639&gt;20000,"Medium","Low"))</f>
        <v>Low</v>
      </c>
      <c r="O639">
        <f>Table1[[#This Row],[TotalSales]]/Table1[[#This Row],[Quantity]]</f>
        <v>1486.1654545454546</v>
      </c>
    </row>
    <row r="640" spans="1:15" x14ac:dyDescent="0.35">
      <c r="A640" t="s">
        <v>698</v>
      </c>
      <c r="B640" s="1">
        <v>45621</v>
      </c>
      <c r="C640" t="s">
        <v>46</v>
      </c>
      <c r="D640" t="s">
        <v>47</v>
      </c>
      <c r="E640" t="s">
        <v>22</v>
      </c>
      <c r="F640" t="s">
        <v>23</v>
      </c>
      <c r="G640" t="s">
        <v>66</v>
      </c>
      <c r="H640">
        <v>12</v>
      </c>
      <c r="I640">
        <v>50445.18</v>
      </c>
      <c r="J640" s="2">
        <v>0.05</v>
      </c>
      <c r="K640" t="s">
        <v>18</v>
      </c>
      <c r="L640">
        <v>575075.05000000005</v>
      </c>
      <c r="M640" t="str">
        <f>TEXT(Table1[[#This Row],[OrderDate]], "mmm")</f>
        <v>Nov</v>
      </c>
      <c r="N640" t="str">
        <f>IF(Table1[[#This Row],[TotalSales]]&gt;50000,"High",IF(L640&gt;20000,"Medium","Low"))</f>
        <v>High</v>
      </c>
      <c r="O640">
        <f>Table1[[#This Row],[TotalSales]]/Table1[[#This Row],[Quantity]]</f>
        <v>47922.920833333337</v>
      </c>
    </row>
    <row r="641" spans="1:15" x14ac:dyDescent="0.35">
      <c r="A641" t="s">
        <v>699</v>
      </c>
      <c r="B641" s="1">
        <v>45564</v>
      </c>
      <c r="C641" t="s">
        <v>13</v>
      </c>
      <c r="D641" t="s">
        <v>33</v>
      </c>
      <c r="E641" t="s">
        <v>34</v>
      </c>
      <c r="F641" t="s">
        <v>48</v>
      </c>
      <c r="G641" t="s">
        <v>17</v>
      </c>
      <c r="H641">
        <v>11</v>
      </c>
      <c r="I641">
        <v>48788.47</v>
      </c>
      <c r="J641" s="2">
        <v>0.1</v>
      </c>
      <c r="K641" t="s">
        <v>31</v>
      </c>
      <c r="L641">
        <v>483005.85</v>
      </c>
      <c r="M641" t="str">
        <f>TEXT(Table1[[#This Row],[OrderDate]], "mmm")</f>
        <v>Sep</v>
      </c>
      <c r="N641" t="str">
        <f>IF(Table1[[#This Row],[TotalSales]]&gt;50000,"High",IF(L641&gt;20000,"Medium","Low"))</f>
        <v>High</v>
      </c>
      <c r="O641">
        <f>Table1[[#This Row],[TotalSales]]/Table1[[#This Row],[Quantity]]</f>
        <v>43909.622727272726</v>
      </c>
    </row>
    <row r="642" spans="1:15" x14ac:dyDescent="0.35">
      <c r="A642" t="s">
        <v>700</v>
      </c>
      <c r="B642" s="1">
        <v>45399</v>
      </c>
      <c r="C642" t="s">
        <v>13</v>
      </c>
      <c r="D642" t="s">
        <v>33</v>
      </c>
      <c r="E642" t="s">
        <v>28</v>
      </c>
      <c r="F642" t="s">
        <v>125</v>
      </c>
      <c r="G642" t="s">
        <v>17</v>
      </c>
      <c r="H642">
        <v>15</v>
      </c>
      <c r="I642">
        <v>41206.31</v>
      </c>
      <c r="J642" s="2">
        <v>0.15</v>
      </c>
      <c r="K642" t="s">
        <v>25</v>
      </c>
      <c r="L642">
        <f>(Table1[[#This Row],[Quantity]]*Table1[[#This Row],[UnitPrice]])-(Table1[[#This Row],[Quantity]]*Table1[[#This Row],[UnitPrice]])*Table1[[#This Row],[Discount%]]</f>
        <v>525380.4524999999</v>
      </c>
      <c r="M642" t="str">
        <f>TEXT(Table1[[#This Row],[OrderDate]], "mmm")</f>
        <v>Apr</v>
      </c>
      <c r="N642" t="str">
        <f>IF(Table1[[#This Row],[TotalSales]]&gt;50000,"High",IF(L642&gt;20000,"Medium","Low"))</f>
        <v>High</v>
      </c>
      <c r="O642">
        <f>Table1[[#This Row],[TotalSales]]/Table1[[#This Row],[Quantity]]</f>
        <v>35025.363499999992</v>
      </c>
    </row>
    <row r="643" spans="1:15" x14ac:dyDescent="0.35">
      <c r="A643" t="s">
        <v>701</v>
      </c>
      <c r="B643" s="1">
        <v>45382</v>
      </c>
      <c r="C643" t="s">
        <v>40</v>
      </c>
      <c r="D643" t="s">
        <v>55</v>
      </c>
      <c r="E643" t="s">
        <v>34</v>
      </c>
      <c r="F643" t="s">
        <v>48</v>
      </c>
      <c r="G643" t="s">
        <v>69</v>
      </c>
      <c r="H643">
        <v>6</v>
      </c>
      <c r="I643">
        <v>10414.719999999999</v>
      </c>
      <c r="J643" s="2">
        <v>0</v>
      </c>
      <c r="K643" t="s">
        <v>18</v>
      </c>
      <c r="L643">
        <v>62488.32</v>
      </c>
      <c r="M643" t="str">
        <f>TEXT(Table1[[#This Row],[OrderDate]], "mmm")</f>
        <v>Mar</v>
      </c>
      <c r="N643" t="str">
        <f>IF(Table1[[#This Row],[TotalSales]]&gt;50000,"High",IF(L643&gt;20000,"Medium","Low"))</f>
        <v>High</v>
      </c>
      <c r="O643">
        <f>Table1[[#This Row],[TotalSales]]/Table1[[#This Row],[Quantity]]</f>
        <v>10414.719999999999</v>
      </c>
    </row>
    <row r="644" spans="1:15" x14ac:dyDescent="0.35">
      <c r="A644" t="s">
        <v>702</v>
      </c>
      <c r="B644" s="1">
        <v>45424</v>
      </c>
      <c r="C644" t="s">
        <v>20</v>
      </c>
      <c r="D644" t="s">
        <v>27</v>
      </c>
      <c r="E644" t="s">
        <v>22</v>
      </c>
      <c r="F644" t="s">
        <v>23</v>
      </c>
      <c r="G644" t="s">
        <v>49</v>
      </c>
      <c r="H644">
        <v>15</v>
      </c>
      <c r="I644">
        <v>47964.53</v>
      </c>
      <c r="J644" s="2">
        <v>0.05</v>
      </c>
      <c r="K644" t="s">
        <v>31</v>
      </c>
      <c r="L644">
        <v>683494.55</v>
      </c>
      <c r="M644" t="str">
        <f>TEXT(Table1[[#This Row],[OrderDate]], "mmm")</f>
        <v>May</v>
      </c>
      <c r="N644" t="str">
        <f>IF(Table1[[#This Row],[TotalSales]]&gt;50000,"High",IF(L644&gt;20000,"Medium","Low"))</f>
        <v>High</v>
      </c>
      <c r="O644">
        <f>Table1[[#This Row],[TotalSales]]/Table1[[#This Row],[Quantity]]</f>
        <v>45566.303333333337</v>
      </c>
    </row>
    <row r="645" spans="1:15" x14ac:dyDescent="0.35">
      <c r="A645" t="s">
        <v>703</v>
      </c>
      <c r="B645" s="1">
        <v>45467</v>
      </c>
      <c r="C645" t="s">
        <v>13</v>
      </c>
      <c r="D645" t="s">
        <v>14</v>
      </c>
      <c r="E645" t="s">
        <v>34</v>
      </c>
      <c r="F645" t="s">
        <v>35</v>
      </c>
      <c r="G645" t="s">
        <v>43</v>
      </c>
      <c r="H645">
        <v>1</v>
      </c>
      <c r="I645">
        <v>32293.42</v>
      </c>
      <c r="J645" s="2">
        <v>0.05</v>
      </c>
      <c r="K645" t="s">
        <v>31</v>
      </c>
      <c r="L645">
        <v>30678.75</v>
      </c>
      <c r="M645" t="str">
        <f>TEXT(Table1[[#This Row],[OrderDate]], "mmm")</f>
        <v>Jun</v>
      </c>
      <c r="N645" t="str">
        <f>IF(Table1[[#This Row],[TotalSales]]&gt;50000,"High",IF(L645&gt;20000,"Medium","Low"))</f>
        <v>Medium</v>
      </c>
      <c r="O645">
        <f>Table1[[#This Row],[TotalSales]]/Table1[[#This Row],[Quantity]]</f>
        <v>30678.75</v>
      </c>
    </row>
    <row r="646" spans="1:15" x14ac:dyDescent="0.35">
      <c r="A646" t="s">
        <v>704</v>
      </c>
      <c r="B646" s="1">
        <v>45600</v>
      </c>
      <c r="C646" t="s">
        <v>46</v>
      </c>
      <c r="D646" t="s">
        <v>79</v>
      </c>
      <c r="E646" t="s">
        <v>15</v>
      </c>
      <c r="F646" t="s">
        <v>59</v>
      </c>
      <c r="G646" t="s">
        <v>83</v>
      </c>
      <c r="H646">
        <v>9</v>
      </c>
      <c r="I646">
        <v>54281.95</v>
      </c>
      <c r="J646" s="2">
        <v>0.2</v>
      </c>
      <c r="K646" t="s">
        <v>44</v>
      </c>
      <c r="L646">
        <v>390830.04</v>
      </c>
      <c r="M646" t="str">
        <f>TEXT(Table1[[#This Row],[OrderDate]], "mmm")</f>
        <v>Nov</v>
      </c>
      <c r="N646" t="str">
        <f>IF(Table1[[#This Row],[TotalSales]]&gt;50000,"High",IF(L646&gt;20000,"Medium","Low"))</f>
        <v>High</v>
      </c>
      <c r="O646">
        <f>Table1[[#This Row],[TotalSales]]/Table1[[#This Row],[Quantity]]</f>
        <v>43425.56</v>
      </c>
    </row>
    <row r="647" spans="1:15" x14ac:dyDescent="0.35">
      <c r="A647" t="s">
        <v>705</v>
      </c>
      <c r="B647" s="1">
        <v>45632</v>
      </c>
      <c r="C647" t="s">
        <v>20</v>
      </c>
      <c r="D647" t="s">
        <v>97</v>
      </c>
      <c r="E647" t="s">
        <v>28</v>
      </c>
      <c r="F647" t="s">
        <v>29</v>
      </c>
      <c r="G647" t="s">
        <v>66</v>
      </c>
      <c r="H647">
        <v>7</v>
      </c>
      <c r="I647">
        <v>20938.28</v>
      </c>
      <c r="J647" s="2">
        <v>0</v>
      </c>
      <c r="K647" t="s">
        <v>18</v>
      </c>
      <c r="L647">
        <f>(Table1[[#This Row],[Quantity]]*Table1[[#This Row],[UnitPrice]])-(Table1[[#This Row],[Quantity]]*Table1[[#This Row],[UnitPrice]])*Table1[[#This Row],[Discount%]]</f>
        <v>146567.96</v>
      </c>
      <c r="M647" t="str">
        <f>TEXT(Table1[[#This Row],[OrderDate]], "mmm")</f>
        <v>Dec</v>
      </c>
      <c r="N647" t="str">
        <f>IF(Table1[[#This Row],[TotalSales]]&gt;50000,"High",IF(L647&gt;20000,"Medium","Low"))</f>
        <v>High</v>
      </c>
      <c r="O647">
        <f>Table1[[#This Row],[TotalSales]]/Table1[[#This Row],[Quantity]]</f>
        <v>20938.28</v>
      </c>
    </row>
    <row r="648" spans="1:15" x14ac:dyDescent="0.35">
      <c r="A648" t="s">
        <v>706</v>
      </c>
      <c r="B648" s="1">
        <v>45419</v>
      </c>
      <c r="C648" t="s">
        <v>13</v>
      </c>
      <c r="D648" t="s">
        <v>33</v>
      </c>
      <c r="E648" t="s">
        <v>15</v>
      </c>
      <c r="F648" t="s">
        <v>16</v>
      </c>
      <c r="G648" t="s">
        <v>83</v>
      </c>
      <c r="H648">
        <v>6</v>
      </c>
      <c r="I648">
        <v>24965.11</v>
      </c>
      <c r="J648" s="2">
        <v>0.15</v>
      </c>
      <c r="K648" t="s">
        <v>31</v>
      </c>
      <c r="L648">
        <v>127322.06</v>
      </c>
      <c r="M648" t="str">
        <f>TEXT(Table1[[#This Row],[OrderDate]], "mmm")</f>
        <v>May</v>
      </c>
      <c r="N648" t="str">
        <f>IF(Table1[[#This Row],[TotalSales]]&gt;50000,"High",IF(L648&gt;20000,"Medium","Low"))</f>
        <v>High</v>
      </c>
      <c r="O648">
        <f>Table1[[#This Row],[TotalSales]]/Table1[[#This Row],[Quantity]]</f>
        <v>21220.343333333334</v>
      </c>
    </row>
    <row r="649" spans="1:15" x14ac:dyDescent="0.35">
      <c r="A649" t="s">
        <v>707</v>
      </c>
      <c r="B649" s="1">
        <v>45519</v>
      </c>
      <c r="C649" t="s">
        <v>13</v>
      </c>
      <c r="D649" t="s">
        <v>33</v>
      </c>
      <c r="E649" t="s">
        <v>28</v>
      </c>
      <c r="F649" t="s">
        <v>76</v>
      </c>
      <c r="G649" t="s">
        <v>30</v>
      </c>
      <c r="H649">
        <v>4</v>
      </c>
      <c r="I649">
        <v>33450.61</v>
      </c>
      <c r="J649" s="2">
        <v>0.05</v>
      </c>
      <c r="K649" t="s">
        <v>31</v>
      </c>
      <c r="L649">
        <v>127112.32000000001</v>
      </c>
      <c r="M649" t="str">
        <f>TEXT(Table1[[#This Row],[OrderDate]], "mmm")</f>
        <v>Aug</v>
      </c>
      <c r="N649" t="str">
        <f>IF(Table1[[#This Row],[TotalSales]]&gt;50000,"High",IF(L649&gt;20000,"Medium","Low"))</f>
        <v>High</v>
      </c>
      <c r="O649">
        <f>Table1[[#This Row],[TotalSales]]/Table1[[#This Row],[Quantity]]</f>
        <v>31778.080000000002</v>
      </c>
    </row>
    <row r="650" spans="1:15" x14ac:dyDescent="0.35">
      <c r="A650" t="s">
        <v>708</v>
      </c>
      <c r="B650" s="1">
        <v>45365</v>
      </c>
      <c r="C650" t="s">
        <v>20</v>
      </c>
      <c r="D650" t="s">
        <v>21</v>
      </c>
      <c r="E650" t="s">
        <v>34</v>
      </c>
      <c r="F650" t="s">
        <v>48</v>
      </c>
      <c r="G650" t="s">
        <v>17</v>
      </c>
      <c r="H650">
        <v>14</v>
      </c>
      <c r="I650">
        <v>28698.98</v>
      </c>
      <c r="J650" s="2">
        <v>0.1</v>
      </c>
      <c r="K650" t="s">
        <v>44</v>
      </c>
      <c r="L650">
        <v>361607.15</v>
      </c>
      <c r="M650" t="str">
        <f>TEXT(Table1[[#This Row],[OrderDate]], "mmm")</f>
        <v>Mar</v>
      </c>
      <c r="N650" t="str">
        <f>IF(Table1[[#This Row],[TotalSales]]&gt;50000,"High",IF(L650&gt;20000,"Medium","Low"))</f>
        <v>High</v>
      </c>
      <c r="O650">
        <f>Table1[[#This Row],[TotalSales]]/Table1[[#This Row],[Quantity]]</f>
        <v>25829.082142857143</v>
      </c>
    </row>
    <row r="651" spans="1:15" x14ac:dyDescent="0.35">
      <c r="A651" t="s">
        <v>709</v>
      </c>
      <c r="B651" s="1">
        <v>45538</v>
      </c>
      <c r="C651" t="s">
        <v>40</v>
      </c>
      <c r="D651" t="s">
        <v>55</v>
      </c>
      <c r="E651" t="s">
        <v>34</v>
      </c>
      <c r="F651" t="s">
        <v>61</v>
      </c>
      <c r="G651" t="s">
        <v>66</v>
      </c>
      <c r="H651">
        <v>11</v>
      </c>
      <c r="I651">
        <v>29828.6</v>
      </c>
      <c r="J651" s="2">
        <v>0</v>
      </c>
      <c r="K651" t="s">
        <v>31</v>
      </c>
      <c r="L651">
        <v>328114.59999999998</v>
      </c>
      <c r="M651" t="str">
        <f>TEXT(Table1[[#This Row],[OrderDate]], "mmm")</f>
        <v>Sep</v>
      </c>
      <c r="N651" t="str">
        <f>IF(Table1[[#This Row],[TotalSales]]&gt;50000,"High",IF(L651&gt;20000,"Medium","Low"))</f>
        <v>High</v>
      </c>
      <c r="O651">
        <f>Table1[[#This Row],[TotalSales]]/Table1[[#This Row],[Quantity]]</f>
        <v>29828.6</v>
      </c>
    </row>
    <row r="652" spans="1:15" x14ac:dyDescent="0.35">
      <c r="A652" t="s">
        <v>710</v>
      </c>
      <c r="B652" s="1">
        <v>45404</v>
      </c>
      <c r="C652" t="s">
        <v>40</v>
      </c>
      <c r="D652" t="s">
        <v>41</v>
      </c>
      <c r="E652" t="s">
        <v>22</v>
      </c>
      <c r="F652" t="s">
        <v>52</v>
      </c>
      <c r="G652" t="s">
        <v>30</v>
      </c>
      <c r="H652">
        <v>12</v>
      </c>
      <c r="I652">
        <v>14318.04</v>
      </c>
      <c r="J652" s="2">
        <v>0.05</v>
      </c>
      <c r="K652" t="s">
        <v>31</v>
      </c>
      <c r="L652">
        <v>163225.66</v>
      </c>
      <c r="M652" t="str">
        <f>TEXT(Table1[[#This Row],[OrderDate]], "mmm")</f>
        <v>Apr</v>
      </c>
      <c r="N652" t="str">
        <f>IF(Table1[[#This Row],[TotalSales]]&gt;50000,"High",IF(L652&gt;20000,"Medium","Low"))</f>
        <v>High</v>
      </c>
      <c r="O652">
        <f>Table1[[#This Row],[TotalSales]]/Table1[[#This Row],[Quantity]]</f>
        <v>13602.138333333334</v>
      </c>
    </row>
    <row r="653" spans="1:15" x14ac:dyDescent="0.35">
      <c r="A653" t="s">
        <v>711</v>
      </c>
      <c r="B653" s="1">
        <v>45467</v>
      </c>
      <c r="C653" t="s">
        <v>46</v>
      </c>
      <c r="D653" t="s">
        <v>71</v>
      </c>
      <c r="E653" t="s">
        <v>28</v>
      </c>
      <c r="F653" t="s">
        <v>125</v>
      </c>
      <c r="G653" t="s">
        <v>66</v>
      </c>
      <c r="H653">
        <v>7</v>
      </c>
      <c r="I653">
        <v>50077.16</v>
      </c>
      <c r="J653" s="2">
        <v>0.15</v>
      </c>
      <c r="K653" t="s">
        <v>18</v>
      </c>
      <c r="L653">
        <v>297959.09999999998</v>
      </c>
      <c r="M653" t="str">
        <f>TEXT(Table1[[#This Row],[OrderDate]], "mmm")</f>
        <v>Jun</v>
      </c>
      <c r="N653" t="str">
        <f>IF(Table1[[#This Row],[TotalSales]]&gt;50000,"High",IF(L653&gt;20000,"Medium","Low"))</f>
        <v>High</v>
      </c>
      <c r="O653">
        <f>Table1[[#This Row],[TotalSales]]/Table1[[#This Row],[Quantity]]</f>
        <v>42565.585714285713</v>
      </c>
    </row>
    <row r="654" spans="1:15" x14ac:dyDescent="0.35">
      <c r="A654" t="s">
        <v>712</v>
      </c>
      <c r="B654" s="1">
        <v>45336</v>
      </c>
      <c r="C654" t="s">
        <v>46</v>
      </c>
      <c r="D654" t="s">
        <v>79</v>
      </c>
      <c r="E654" t="s">
        <v>22</v>
      </c>
      <c r="F654" t="s">
        <v>52</v>
      </c>
      <c r="G654" t="s">
        <v>24</v>
      </c>
      <c r="H654">
        <v>2</v>
      </c>
      <c r="I654">
        <v>5084.84</v>
      </c>
      <c r="J654" s="2">
        <v>0.15</v>
      </c>
      <c r="K654" t="s">
        <v>44</v>
      </c>
      <c r="L654">
        <v>8644.23</v>
      </c>
      <c r="M654" t="str">
        <f>TEXT(Table1[[#This Row],[OrderDate]], "mmm")</f>
        <v>Feb</v>
      </c>
      <c r="N654" t="str">
        <f>IF(Table1[[#This Row],[TotalSales]]&gt;50000,"High",IF(L654&gt;20000,"Medium","Low"))</f>
        <v>Low</v>
      </c>
      <c r="O654">
        <f>Table1[[#This Row],[TotalSales]]/Table1[[#This Row],[Quantity]]</f>
        <v>4322.1149999999998</v>
      </c>
    </row>
    <row r="655" spans="1:15" x14ac:dyDescent="0.35">
      <c r="A655" t="s">
        <v>713</v>
      </c>
      <c r="B655" s="1">
        <v>45594</v>
      </c>
      <c r="C655" t="s">
        <v>13</v>
      </c>
      <c r="D655" t="s">
        <v>14</v>
      </c>
      <c r="E655" t="s">
        <v>34</v>
      </c>
      <c r="F655" t="s">
        <v>35</v>
      </c>
      <c r="G655" t="s">
        <v>24</v>
      </c>
      <c r="H655">
        <v>9</v>
      </c>
      <c r="I655">
        <v>10604.2</v>
      </c>
      <c r="J655" s="2">
        <v>0.05</v>
      </c>
      <c r="K655" t="s">
        <v>18</v>
      </c>
      <c r="L655">
        <v>90665.91</v>
      </c>
      <c r="M655" t="str">
        <f>TEXT(Table1[[#This Row],[OrderDate]], "mmm")</f>
        <v>Oct</v>
      </c>
      <c r="N655" t="str">
        <f>IF(Table1[[#This Row],[TotalSales]]&gt;50000,"High",IF(L655&gt;20000,"Medium","Low"))</f>
        <v>High</v>
      </c>
      <c r="O655">
        <f>Table1[[#This Row],[TotalSales]]/Table1[[#This Row],[Quantity]]</f>
        <v>10073.99</v>
      </c>
    </row>
    <row r="656" spans="1:15" x14ac:dyDescent="0.35">
      <c r="A656" t="s">
        <v>714</v>
      </c>
      <c r="B656" s="1">
        <v>45527</v>
      </c>
      <c r="C656" t="s">
        <v>46</v>
      </c>
      <c r="D656" t="s">
        <v>71</v>
      </c>
      <c r="E656" t="s">
        <v>15</v>
      </c>
      <c r="F656" t="s">
        <v>38</v>
      </c>
      <c r="G656" t="s">
        <v>24</v>
      </c>
      <c r="H656">
        <v>6</v>
      </c>
      <c r="I656">
        <v>8129.6</v>
      </c>
      <c r="J656" s="2">
        <v>0</v>
      </c>
      <c r="K656" t="s">
        <v>31</v>
      </c>
      <c r="L656">
        <v>48777.599999999999</v>
      </c>
      <c r="M656" t="str">
        <f>TEXT(Table1[[#This Row],[OrderDate]], "mmm")</f>
        <v>Aug</v>
      </c>
      <c r="N656" t="str">
        <f>IF(Table1[[#This Row],[TotalSales]]&gt;50000,"High",IF(L656&gt;20000,"Medium","Low"))</f>
        <v>Medium</v>
      </c>
      <c r="O656">
        <f>Table1[[#This Row],[TotalSales]]/Table1[[#This Row],[Quantity]]</f>
        <v>8129.5999999999995</v>
      </c>
    </row>
    <row r="657" spans="1:15" x14ac:dyDescent="0.35">
      <c r="A657" t="s">
        <v>715</v>
      </c>
      <c r="B657" s="1">
        <v>45653</v>
      </c>
      <c r="C657" t="s">
        <v>46</v>
      </c>
      <c r="D657" t="s">
        <v>79</v>
      </c>
      <c r="E657" t="s">
        <v>28</v>
      </c>
      <c r="F657" t="s">
        <v>29</v>
      </c>
      <c r="G657" t="s">
        <v>83</v>
      </c>
      <c r="H657">
        <v>10</v>
      </c>
      <c r="I657">
        <v>26409.89</v>
      </c>
      <c r="J657" s="2">
        <v>0.2</v>
      </c>
      <c r="K657" t="s">
        <v>18</v>
      </c>
      <c r="L657">
        <v>211279.12</v>
      </c>
      <c r="M657" t="str">
        <f>TEXT(Table1[[#This Row],[OrderDate]], "mmm")</f>
        <v>Dec</v>
      </c>
      <c r="N657" t="str">
        <f>IF(Table1[[#This Row],[TotalSales]]&gt;50000,"High",IF(L657&gt;20000,"Medium","Low"))</f>
        <v>High</v>
      </c>
      <c r="O657">
        <f>Table1[[#This Row],[TotalSales]]/Table1[[#This Row],[Quantity]]</f>
        <v>21127.912</v>
      </c>
    </row>
    <row r="658" spans="1:15" x14ac:dyDescent="0.35">
      <c r="A658" t="s">
        <v>716</v>
      </c>
      <c r="B658" s="1">
        <v>45541</v>
      </c>
      <c r="C658" t="s">
        <v>46</v>
      </c>
      <c r="D658" t="s">
        <v>47</v>
      </c>
      <c r="E658" t="s">
        <v>22</v>
      </c>
      <c r="F658" t="s">
        <v>42</v>
      </c>
      <c r="G658" t="s">
        <v>83</v>
      </c>
      <c r="H658">
        <v>12</v>
      </c>
      <c r="I658">
        <v>21671.07</v>
      </c>
      <c r="J658" s="2">
        <v>0.2</v>
      </c>
      <c r="K658" t="s">
        <v>25</v>
      </c>
      <c r="L658">
        <v>208042.27</v>
      </c>
      <c r="M658" t="str">
        <f>TEXT(Table1[[#This Row],[OrderDate]], "mmm")</f>
        <v>Sep</v>
      </c>
      <c r="N658" t="str">
        <f>IF(Table1[[#This Row],[TotalSales]]&gt;50000,"High",IF(L658&gt;20000,"Medium","Low"))</f>
        <v>High</v>
      </c>
      <c r="O658">
        <f>Table1[[#This Row],[TotalSales]]/Table1[[#This Row],[Quantity]]</f>
        <v>17336.855833333331</v>
      </c>
    </row>
    <row r="659" spans="1:15" x14ac:dyDescent="0.35">
      <c r="A659" t="s">
        <v>717</v>
      </c>
      <c r="B659" s="1">
        <v>45328</v>
      </c>
      <c r="C659" t="s">
        <v>40</v>
      </c>
      <c r="D659" t="s">
        <v>41</v>
      </c>
      <c r="E659" t="s">
        <v>34</v>
      </c>
      <c r="F659" t="s">
        <v>48</v>
      </c>
      <c r="G659" t="s">
        <v>24</v>
      </c>
      <c r="H659">
        <v>9</v>
      </c>
      <c r="I659">
        <v>40026.15</v>
      </c>
      <c r="J659" s="2">
        <v>0</v>
      </c>
      <c r="K659" t="s">
        <v>44</v>
      </c>
      <c r="L659">
        <v>360235.35</v>
      </c>
      <c r="M659" t="str">
        <f>TEXT(Table1[[#This Row],[OrderDate]], "mmm")</f>
        <v>Feb</v>
      </c>
      <c r="N659" t="str">
        <f>IF(Table1[[#This Row],[TotalSales]]&gt;50000,"High",IF(L659&gt;20000,"Medium","Low"))</f>
        <v>High</v>
      </c>
      <c r="O659">
        <f>Table1[[#This Row],[TotalSales]]/Table1[[#This Row],[Quantity]]</f>
        <v>40026.149999999994</v>
      </c>
    </row>
    <row r="660" spans="1:15" x14ac:dyDescent="0.35">
      <c r="A660" t="s">
        <v>718</v>
      </c>
      <c r="B660" s="1">
        <v>45375</v>
      </c>
      <c r="C660" t="s">
        <v>40</v>
      </c>
      <c r="D660" t="s">
        <v>51</v>
      </c>
      <c r="E660" t="s">
        <v>15</v>
      </c>
      <c r="F660" t="s">
        <v>56</v>
      </c>
      <c r="G660" t="s">
        <v>69</v>
      </c>
      <c r="H660">
        <v>10</v>
      </c>
      <c r="I660">
        <v>7738.34</v>
      </c>
      <c r="J660" s="2">
        <v>0.15</v>
      </c>
      <c r="K660" t="s">
        <v>31</v>
      </c>
      <c r="L660">
        <v>65775.89</v>
      </c>
      <c r="M660" t="str">
        <f>TEXT(Table1[[#This Row],[OrderDate]], "mmm")</f>
        <v>Mar</v>
      </c>
      <c r="N660" t="str">
        <f>IF(Table1[[#This Row],[TotalSales]]&gt;50000,"High",IF(L660&gt;20000,"Medium","Low"))</f>
        <v>High</v>
      </c>
      <c r="O660">
        <f>Table1[[#This Row],[TotalSales]]/Table1[[#This Row],[Quantity]]</f>
        <v>6577.5889999999999</v>
      </c>
    </row>
    <row r="661" spans="1:15" x14ac:dyDescent="0.35">
      <c r="A661" t="s">
        <v>719</v>
      </c>
      <c r="B661" s="1">
        <v>45510</v>
      </c>
      <c r="C661" t="s">
        <v>20</v>
      </c>
      <c r="D661" t="s">
        <v>97</v>
      </c>
      <c r="E661" t="s">
        <v>28</v>
      </c>
      <c r="F661" t="s">
        <v>76</v>
      </c>
      <c r="G661" t="s">
        <v>83</v>
      </c>
      <c r="H661">
        <v>11</v>
      </c>
      <c r="I661">
        <v>46322.97</v>
      </c>
      <c r="J661" s="2">
        <v>0</v>
      </c>
      <c r="K661" t="s">
        <v>25</v>
      </c>
      <c r="L661">
        <v>509552.67</v>
      </c>
      <c r="M661" t="str">
        <f>TEXT(Table1[[#This Row],[OrderDate]], "mmm")</f>
        <v>Aug</v>
      </c>
      <c r="N661" t="str">
        <f>IF(Table1[[#This Row],[TotalSales]]&gt;50000,"High",IF(L661&gt;20000,"Medium","Low"))</f>
        <v>High</v>
      </c>
      <c r="O661">
        <f>Table1[[#This Row],[TotalSales]]/Table1[[#This Row],[Quantity]]</f>
        <v>46322.97</v>
      </c>
    </row>
    <row r="662" spans="1:15" x14ac:dyDescent="0.35">
      <c r="A662" t="s">
        <v>720</v>
      </c>
      <c r="B662" s="1">
        <v>45352</v>
      </c>
      <c r="C662" t="s">
        <v>20</v>
      </c>
      <c r="D662" t="s">
        <v>27</v>
      </c>
      <c r="E662" t="s">
        <v>22</v>
      </c>
      <c r="F662" t="s">
        <v>82</v>
      </c>
      <c r="G662" t="s">
        <v>17</v>
      </c>
      <c r="H662">
        <v>4</v>
      </c>
      <c r="I662">
        <v>21936.13</v>
      </c>
      <c r="J662" s="2">
        <v>0</v>
      </c>
      <c r="K662" t="s">
        <v>25</v>
      </c>
      <c r="L662">
        <v>87744.52</v>
      </c>
      <c r="M662" t="str">
        <f>TEXT(Table1[[#This Row],[OrderDate]], "mmm")</f>
        <v>Mar</v>
      </c>
      <c r="N662" t="str">
        <f>IF(Table1[[#This Row],[TotalSales]]&gt;50000,"High",IF(L662&gt;20000,"Medium","Low"))</f>
        <v>High</v>
      </c>
      <c r="O662">
        <f>Table1[[#This Row],[TotalSales]]/Table1[[#This Row],[Quantity]]</f>
        <v>21936.13</v>
      </c>
    </row>
    <row r="663" spans="1:15" x14ac:dyDescent="0.35">
      <c r="A663" t="s">
        <v>721</v>
      </c>
      <c r="B663" s="1">
        <v>45297</v>
      </c>
      <c r="C663" t="s">
        <v>40</v>
      </c>
      <c r="D663" t="s">
        <v>41</v>
      </c>
      <c r="E663" t="s">
        <v>34</v>
      </c>
      <c r="F663" t="s">
        <v>48</v>
      </c>
      <c r="G663" t="s">
        <v>30</v>
      </c>
      <c r="H663">
        <v>2</v>
      </c>
      <c r="I663">
        <v>6591.19</v>
      </c>
      <c r="J663" s="2">
        <v>0</v>
      </c>
      <c r="K663" t="s">
        <v>44</v>
      </c>
      <c r="L663">
        <f>(Table1[[#This Row],[Quantity]]*Table1[[#This Row],[UnitPrice]])-(Table1[[#This Row],[Quantity]]*Table1[[#This Row],[UnitPrice]])*Table1[[#This Row],[Discount%]]</f>
        <v>13182.38</v>
      </c>
      <c r="M663" t="str">
        <f>TEXT(Table1[[#This Row],[OrderDate]], "mmm")</f>
        <v>Jan</v>
      </c>
      <c r="N663" t="str">
        <f>IF(Table1[[#This Row],[TotalSales]]&gt;50000,"High",IF(L663&gt;20000,"Medium","Low"))</f>
        <v>Low</v>
      </c>
      <c r="O663">
        <f>Table1[[#This Row],[TotalSales]]/Table1[[#This Row],[Quantity]]</f>
        <v>6591.19</v>
      </c>
    </row>
    <row r="664" spans="1:15" x14ac:dyDescent="0.35">
      <c r="A664" t="s">
        <v>722</v>
      </c>
      <c r="B664" s="1">
        <v>45622</v>
      </c>
      <c r="C664" t="s">
        <v>40</v>
      </c>
      <c r="D664" t="s">
        <v>41</v>
      </c>
      <c r="E664" t="s">
        <v>15</v>
      </c>
      <c r="F664" t="s">
        <v>59</v>
      </c>
      <c r="G664" t="s">
        <v>24</v>
      </c>
      <c r="H664">
        <v>12</v>
      </c>
      <c r="I664">
        <v>23964.38</v>
      </c>
      <c r="J664" s="2">
        <v>0.1</v>
      </c>
      <c r="K664" t="s">
        <v>25</v>
      </c>
      <c r="L664">
        <v>258815.3</v>
      </c>
      <c r="M664" t="str">
        <f>TEXT(Table1[[#This Row],[OrderDate]], "mmm")</f>
        <v>Nov</v>
      </c>
      <c r="N664" t="str">
        <f>IF(Table1[[#This Row],[TotalSales]]&gt;50000,"High",IF(L664&gt;20000,"Medium","Low"))</f>
        <v>High</v>
      </c>
      <c r="O664">
        <f>Table1[[#This Row],[TotalSales]]/Table1[[#This Row],[Quantity]]</f>
        <v>21567.941666666666</v>
      </c>
    </row>
    <row r="665" spans="1:15" x14ac:dyDescent="0.35">
      <c r="A665" t="s">
        <v>723</v>
      </c>
      <c r="B665" s="1">
        <v>45557</v>
      </c>
      <c r="C665" t="s">
        <v>40</v>
      </c>
      <c r="D665" t="s">
        <v>55</v>
      </c>
      <c r="E665" t="s">
        <v>15</v>
      </c>
      <c r="F665" t="s">
        <v>38</v>
      </c>
      <c r="G665" t="s">
        <v>17</v>
      </c>
      <c r="H665">
        <v>14</v>
      </c>
      <c r="I665">
        <v>32242.74</v>
      </c>
      <c r="J665" s="2">
        <v>0.15</v>
      </c>
      <c r="K665" t="s">
        <v>18</v>
      </c>
      <c r="L665">
        <v>383688.61</v>
      </c>
      <c r="M665" t="str">
        <f>TEXT(Table1[[#This Row],[OrderDate]], "mmm")</f>
        <v>Sep</v>
      </c>
      <c r="N665" t="str">
        <f>IF(Table1[[#This Row],[TotalSales]]&gt;50000,"High",IF(L665&gt;20000,"Medium","Low"))</f>
        <v>High</v>
      </c>
      <c r="O665">
        <f>Table1[[#This Row],[TotalSales]]/Table1[[#This Row],[Quantity]]</f>
        <v>27406.329285714284</v>
      </c>
    </row>
    <row r="666" spans="1:15" x14ac:dyDescent="0.35">
      <c r="A666" t="s">
        <v>724</v>
      </c>
      <c r="B666" s="1">
        <v>45354</v>
      </c>
      <c r="C666" t="s">
        <v>40</v>
      </c>
      <c r="D666" t="s">
        <v>41</v>
      </c>
      <c r="E666" t="s">
        <v>22</v>
      </c>
      <c r="F666" t="s">
        <v>23</v>
      </c>
      <c r="G666" t="s">
        <v>17</v>
      </c>
      <c r="H666">
        <v>1</v>
      </c>
      <c r="I666">
        <v>7259.12</v>
      </c>
      <c r="J666" s="2">
        <v>0</v>
      </c>
      <c r="K666" t="s">
        <v>31</v>
      </c>
      <c r="L666">
        <v>7259.12</v>
      </c>
      <c r="M666" t="str">
        <f>TEXT(Table1[[#This Row],[OrderDate]], "mmm")</f>
        <v>Mar</v>
      </c>
      <c r="N666" t="str">
        <f>IF(Table1[[#This Row],[TotalSales]]&gt;50000,"High",IF(L666&gt;20000,"Medium","Low"))</f>
        <v>Low</v>
      </c>
      <c r="O666">
        <f>Table1[[#This Row],[TotalSales]]/Table1[[#This Row],[Quantity]]</f>
        <v>7259.12</v>
      </c>
    </row>
    <row r="667" spans="1:15" x14ac:dyDescent="0.35">
      <c r="A667" t="s">
        <v>725</v>
      </c>
      <c r="B667" s="1">
        <v>45628</v>
      </c>
      <c r="C667" t="s">
        <v>20</v>
      </c>
      <c r="D667" t="s">
        <v>97</v>
      </c>
      <c r="E667" t="s">
        <v>28</v>
      </c>
      <c r="F667" t="s">
        <v>29</v>
      </c>
      <c r="G667" t="s">
        <v>30</v>
      </c>
      <c r="H667">
        <v>1</v>
      </c>
      <c r="I667">
        <v>13808.87</v>
      </c>
      <c r="J667" s="2">
        <v>0</v>
      </c>
      <c r="K667" t="s">
        <v>18</v>
      </c>
      <c r="L667">
        <v>13808.87</v>
      </c>
      <c r="M667" t="str">
        <f>TEXT(Table1[[#This Row],[OrderDate]], "mmm")</f>
        <v>Dec</v>
      </c>
      <c r="N667" t="str">
        <f>IF(Table1[[#This Row],[TotalSales]]&gt;50000,"High",IF(L667&gt;20000,"Medium","Low"))</f>
        <v>Low</v>
      </c>
      <c r="O667">
        <f>Table1[[#This Row],[TotalSales]]/Table1[[#This Row],[Quantity]]</f>
        <v>13808.87</v>
      </c>
    </row>
    <row r="668" spans="1:15" x14ac:dyDescent="0.35">
      <c r="A668" t="s">
        <v>726</v>
      </c>
      <c r="B668" s="1">
        <v>45567</v>
      </c>
      <c r="C668" t="s">
        <v>13</v>
      </c>
      <c r="D668" t="s">
        <v>33</v>
      </c>
      <c r="E668" t="s">
        <v>34</v>
      </c>
      <c r="F668" t="s">
        <v>48</v>
      </c>
      <c r="G668" t="s">
        <v>69</v>
      </c>
      <c r="H668">
        <v>9</v>
      </c>
      <c r="I668">
        <v>11699.2</v>
      </c>
      <c r="J668" s="2">
        <v>0</v>
      </c>
      <c r="K668" t="s">
        <v>18</v>
      </c>
      <c r="L668">
        <v>105292.8</v>
      </c>
      <c r="M668" t="str">
        <f>TEXT(Table1[[#This Row],[OrderDate]], "mmm")</f>
        <v>Oct</v>
      </c>
      <c r="N668" t="str">
        <f>IF(Table1[[#This Row],[TotalSales]]&gt;50000,"High",IF(L668&gt;20000,"Medium","Low"))</f>
        <v>High</v>
      </c>
      <c r="O668">
        <f>Table1[[#This Row],[TotalSales]]/Table1[[#This Row],[Quantity]]</f>
        <v>11699.2</v>
      </c>
    </row>
    <row r="669" spans="1:15" x14ac:dyDescent="0.35">
      <c r="A669" t="s">
        <v>727</v>
      </c>
      <c r="B669" s="1">
        <v>45610</v>
      </c>
      <c r="C669" t="s">
        <v>13</v>
      </c>
      <c r="D669" t="s">
        <v>14</v>
      </c>
      <c r="E669" t="s">
        <v>22</v>
      </c>
      <c r="F669" t="s">
        <v>52</v>
      </c>
      <c r="G669" t="s">
        <v>49</v>
      </c>
      <c r="H669">
        <v>7</v>
      </c>
      <c r="I669">
        <v>4274.91</v>
      </c>
      <c r="J669" s="2">
        <v>0</v>
      </c>
      <c r="K669" t="s">
        <v>25</v>
      </c>
      <c r="L669">
        <v>29924.37</v>
      </c>
      <c r="M669" t="str">
        <f>TEXT(Table1[[#This Row],[OrderDate]], "mmm")</f>
        <v>Nov</v>
      </c>
      <c r="N669" t="str">
        <f>IF(Table1[[#This Row],[TotalSales]]&gt;50000,"High",IF(L669&gt;20000,"Medium","Low"))</f>
        <v>Medium</v>
      </c>
      <c r="O669">
        <f>Table1[[#This Row],[TotalSales]]/Table1[[#This Row],[Quantity]]</f>
        <v>4274.91</v>
      </c>
    </row>
    <row r="670" spans="1:15" x14ac:dyDescent="0.35">
      <c r="A670" t="s">
        <v>728</v>
      </c>
      <c r="B670" s="1">
        <v>45429</v>
      </c>
      <c r="C670" t="s">
        <v>46</v>
      </c>
      <c r="D670" t="s">
        <v>71</v>
      </c>
      <c r="E670" t="s">
        <v>22</v>
      </c>
      <c r="F670" t="s">
        <v>42</v>
      </c>
      <c r="G670" t="s">
        <v>24</v>
      </c>
      <c r="H670">
        <v>11</v>
      </c>
      <c r="I670">
        <v>38384.800000000003</v>
      </c>
      <c r="J670" s="2">
        <v>0</v>
      </c>
      <c r="K670" t="s">
        <v>25</v>
      </c>
      <c r="L670">
        <v>422232.8</v>
      </c>
      <c r="M670" t="str">
        <f>TEXT(Table1[[#This Row],[OrderDate]], "mmm")</f>
        <v>May</v>
      </c>
      <c r="N670" t="str">
        <f>IF(Table1[[#This Row],[TotalSales]]&gt;50000,"High",IF(L670&gt;20000,"Medium","Low"))</f>
        <v>High</v>
      </c>
      <c r="O670">
        <f>Table1[[#This Row],[TotalSales]]/Table1[[#This Row],[Quantity]]</f>
        <v>38384.799999999996</v>
      </c>
    </row>
    <row r="671" spans="1:15" x14ac:dyDescent="0.35">
      <c r="A671" t="s">
        <v>729</v>
      </c>
      <c r="B671" s="1">
        <v>45305</v>
      </c>
      <c r="C671" t="s">
        <v>40</v>
      </c>
      <c r="D671" t="s">
        <v>41</v>
      </c>
      <c r="E671" t="s">
        <v>22</v>
      </c>
      <c r="F671" t="s">
        <v>52</v>
      </c>
      <c r="G671" t="s">
        <v>17</v>
      </c>
      <c r="H671">
        <v>10</v>
      </c>
      <c r="I671">
        <v>13762.87</v>
      </c>
      <c r="J671" s="2">
        <v>0</v>
      </c>
      <c r="K671" t="s">
        <v>44</v>
      </c>
      <c r="L671">
        <v>137628.70000000001</v>
      </c>
      <c r="M671" t="str">
        <f>TEXT(Table1[[#This Row],[OrderDate]], "mmm")</f>
        <v>Jan</v>
      </c>
      <c r="N671" t="str">
        <f>IF(Table1[[#This Row],[TotalSales]]&gt;50000,"High",IF(L671&gt;20000,"Medium","Low"))</f>
        <v>High</v>
      </c>
      <c r="O671">
        <f>Table1[[#This Row],[TotalSales]]/Table1[[#This Row],[Quantity]]</f>
        <v>13762.87</v>
      </c>
    </row>
    <row r="672" spans="1:15" x14ac:dyDescent="0.35">
      <c r="A672" t="s">
        <v>730</v>
      </c>
      <c r="B672" s="1">
        <v>45432</v>
      </c>
      <c r="C672" t="s">
        <v>20</v>
      </c>
      <c r="D672" t="s">
        <v>27</v>
      </c>
      <c r="E672" t="s">
        <v>28</v>
      </c>
      <c r="F672" t="s">
        <v>29</v>
      </c>
      <c r="G672" t="s">
        <v>49</v>
      </c>
      <c r="H672">
        <v>1</v>
      </c>
      <c r="I672">
        <v>5567.49</v>
      </c>
      <c r="J672" s="2">
        <v>0</v>
      </c>
      <c r="K672" t="s">
        <v>25</v>
      </c>
      <c r="L672">
        <v>5567.49</v>
      </c>
      <c r="M672" t="str">
        <f>TEXT(Table1[[#This Row],[OrderDate]], "mmm")</f>
        <v>May</v>
      </c>
      <c r="N672" t="str">
        <f>IF(Table1[[#This Row],[TotalSales]]&gt;50000,"High",IF(L672&gt;20000,"Medium","Low"))</f>
        <v>Low</v>
      </c>
      <c r="O672">
        <f>Table1[[#This Row],[TotalSales]]/Table1[[#This Row],[Quantity]]</f>
        <v>5567.49</v>
      </c>
    </row>
    <row r="673" spans="1:15" x14ac:dyDescent="0.35">
      <c r="A673" t="s">
        <v>731</v>
      </c>
      <c r="B673" s="1">
        <v>45430</v>
      </c>
      <c r="C673" t="s">
        <v>13</v>
      </c>
      <c r="D673" t="s">
        <v>33</v>
      </c>
      <c r="E673" t="s">
        <v>15</v>
      </c>
      <c r="F673" t="s">
        <v>56</v>
      </c>
      <c r="G673" t="s">
        <v>66</v>
      </c>
      <c r="H673">
        <v>10</v>
      </c>
      <c r="I673">
        <v>5628.83</v>
      </c>
      <c r="J673" s="2">
        <v>0</v>
      </c>
      <c r="K673" t="s">
        <v>25</v>
      </c>
      <c r="L673">
        <v>56288.3</v>
      </c>
      <c r="M673" t="str">
        <f>TEXT(Table1[[#This Row],[OrderDate]], "mmm")</f>
        <v>May</v>
      </c>
      <c r="N673" t="str">
        <f>IF(Table1[[#This Row],[TotalSales]]&gt;50000,"High",IF(L673&gt;20000,"Medium","Low"))</f>
        <v>High</v>
      </c>
      <c r="O673">
        <f>Table1[[#This Row],[TotalSales]]/Table1[[#This Row],[Quantity]]</f>
        <v>5628.83</v>
      </c>
    </row>
    <row r="674" spans="1:15" x14ac:dyDescent="0.35">
      <c r="A674" t="s">
        <v>732</v>
      </c>
      <c r="B674" s="1">
        <v>45554</v>
      </c>
      <c r="C674" t="s">
        <v>46</v>
      </c>
      <c r="D674" t="s">
        <v>71</v>
      </c>
      <c r="E674" t="s">
        <v>22</v>
      </c>
      <c r="F674" t="s">
        <v>52</v>
      </c>
      <c r="G674" t="s">
        <v>83</v>
      </c>
      <c r="H674">
        <v>12</v>
      </c>
      <c r="I674">
        <v>8720.92</v>
      </c>
      <c r="J674" s="2">
        <v>0</v>
      </c>
      <c r="K674" t="s">
        <v>18</v>
      </c>
      <c r="L674">
        <v>104651.04</v>
      </c>
      <c r="M674" t="str">
        <f>TEXT(Table1[[#This Row],[OrderDate]], "mmm")</f>
        <v>Sep</v>
      </c>
      <c r="N674" t="str">
        <f>IF(Table1[[#This Row],[TotalSales]]&gt;50000,"High",IF(L674&gt;20000,"Medium","Low"))</f>
        <v>High</v>
      </c>
      <c r="O674">
        <f>Table1[[#This Row],[TotalSales]]/Table1[[#This Row],[Quantity]]</f>
        <v>8720.92</v>
      </c>
    </row>
    <row r="675" spans="1:15" x14ac:dyDescent="0.35">
      <c r="A675" t="s">
        <v>733</v>
      </c>
      <c r="B675" s="1">
        <v>45473</v>
      </c>
      <c r="C675" t="s">
        <v>20</v>
      </c>
      <c r="D675" t="s">
        <v>97</v>
      </c>
      <c r="E675" t="s">
        <v>34</v>
      </c>
      <c r="F675" t="s">
        <v>88</v>
      </c>
      <c r="G675" t="s">
        <v>69</v>
      </c>
      <c r="H675">
        <v>13</v>
      </c>
      <c r="I675">
        <v>25882.89</v>
      </c>
      <c r="J675" s="2">
        <v>0</v>
      </c>
      <c r="K675" t="s">
        <v>44</v>
      </c>
      <c r="L675">
        <v>336477.57</v>
      </c>
      <c r="M675" t="str">
        <f>TEXT(Table1[[#This Row],[OrderDate]], "mmm")</f>
        <v>Jun</v>
      </c>
      <c r="N675" t="str">
        <f>IF(Table1[[#This Row],[TotalSales]]&gt;50000,"High",IF(L675&gt;20000,"Medium","Low"))</f>
        <v>High</v>
      </c>
      <c r="O675">
        <f>Table1[[#This Row],[TotalSales]]/Table1[[#This Row],[Quantity]]</f>
        <v>25882.89</v>
      </c>
    </row>
    <row r="676" spans="1:15" x14ac:dyDescent="0.35">
      <c r="A676" t="s">
        <v>734</v>
      </c>
      <c r="B676" s="1">
        <v>45338</v>
      </c>
      <c r="C676" t="s">
        <v>40</v>
      </c>
      <c r="D676" t="s">
        <v>41</v>
      </c>
      <c r="E676" t="s">
        <v>15</v>
      </c>
      <c r="F676" t="s">
        <v>56</v>
      </c>
      <c r="G676" t="s">
        <v>49</v>
      </c>
      <c r="H676">
        <v>11</v>
      </c>
      <c r="I676">
        <v>4555.22</v>
      </c>
      <c r="J676" s="2">
        <v>0.15</v>
      </c>
      <c r="K676" t="s">
        <v>25</v>
      </c>
      <c r="L676">
        <v>42591.31</v>
      </c>
      <c r="M676" t="str">
        <f>TEXT(Table1[[#This Row],[OrderDate]], "mmm")</f>
        <v>Feb</v>
      </c>
      <c r="N676" t="str">
        <f>IF(Table1[[#This Row],[TotalSales]]&gt;50000,"High",IF(L676&gt;20000,"Medium","Low"))</f>
        <v>Medium</v>
      </c>
      <c r="O676">
        <f>Table1[[#This Row],[TotalSales]]/Table1[[#This Row],[Quantity]]</f>
        <v>3871.9372727272726</v>
      </c>
    </row>
    <row r="677" spans="1:15" x14ac:dyDescent="0.35">
      <c r="A677" t="s">
        <v>735</v>
      </c>
      <c r="B677" s="1">
        <v>45546</v>
      </c>
      <c r="C677" t="s">
        <v>20</v>
      </c>
      <c r="D677" t="s">
        <v>97</v>
      </c>
      <c r="E677" t="s">
        <v>15</v>
      </c>
      <c r="F677" t="s">
        <v>38</v>
      </c>
      <c r="G677" t="s">
        <v>43</v>
      </c>
      <c r="H677">
        <v>9</v>
      </c>
      <c r="I677">
        <v>37744.68</v>
      </c>
      <c r="J677" s="2">
        <v>0.15</v>
      </c>
      <c r="K677" t="s">
        <v>25</v>
      </c>
      <c r="L677">
        <v>288746.8</v>
      </c>
      <c r="M677" t="str">
        <f>TEXT(Table1[[#This Row],[OrderDate]], "mmm")</f>
        <v>Sep</v>
      </c>
      <c r="N677" t="str">
        <f>IF(Table1[[#This Row],[TotalSales]]&gt;50000,"High",IF(L677&gt;20000,"Medium","Low"))</f>
        <v>High</v>
      </c>
      <c r="O677">
        <f>Table1[[#This Row],[TotalSales]]/Table1[[#This Row],[Quantity]]</f>
        <v>32082.977777777778</v>
      </c>
    </row>
    <row r="678" spans="1:15" x14ac:dyDescent="0.35">
      <c r="A678" t="s">
        <v>736</v>
      </c>
      <c r="B678" s="1">
        <v>45521</v>
      </c>
      <c r="C678" t="s">
        <v>46</v>
      </c>
      <c r="D678" t="s">
        <v>71</v>
      </c>
      <c r="E678" t="s">
        <v>28</v>
      </c>
      <c r="F678" t="s">
        <v>125</v>
      </c>
      <c r="G678" t="s">
        <v>83</v>
      </c>
      <c r="H678">
        <v>3</v>
      </c>
      <c r="I678">
        <v>37163.81</v>
      </c>
      <c r="J678" s="2">
        <v>0.2</v>
      </c>
      <c r="K678" t="s">
        <v>31</v>
      </c>
      <c r="L678">
        <v>89193.14</v>
      </c>
      <c r="M678" t="str">
        <f>TEXT(Table1[[#This Row],[OrderDate]], "mmm")</f>
        <v>Aug</v>
      </c>
      <c r="N678" t="str">
        <f>IF(Table1[[#This Row],[TotalSales]]&gt;50000,"High",IF(L678&gt;20000,"Medium","Low"))</f>
        <v>High</v>
      </c>
      <c r="O678">
        <f>Table1[[#This Row],[TotalSales]]/Table1[[#This Row],[Quantity]]</f>
        <v>29731.046666666665</v>
      </c>
    </row>
    <row r="679" spans="1:15" x14ac:dyDescent="0.35">
      <c r="A679" t="s">
        <v>737</v>
      </c>
      <c r="B679" s="1">
        <v>45483</v>
      </c>
      <c r="C679" t="s">
        <v>40</v>
      </c>
      <c r="D679" t="s">
        <v>55</v>
      </c>
      <c r="E679" t="s">
        <v>34</v>
      </c>
      <c r="F679" t="s">
        <v>88</v>
      </c>
      <c r="G679" t="s">
        <v>49</v>
      </c>
      <c r="H679">
        <v>2</v>
      </c>
      <c r="I679">
        <v>18720.13</v>
      </c>
      <c r="J679" s="2">
        <v>0.15</v>
      </c>
      <c r="K679" t="s">
        <v>25</v>
      </c>
      <c r="L679">
        <v>31824.22</v>
      </c>
      <c r="M679" t="str">
        <f>TEXT(Table1[[#This Row],[OrderDate]], "mmm")</f>
        <v>Jul</v>
      </c>
      <c r="N679" t="str">
        <f>IF(Table1[[#This Row],[TotalSales]]&gt;50000,"High",IF(L679&gt;20000,"Medium","Low"))</f>
        <v>Medium</v>
      </c>
      <c r="O679">
        <f>Table1[[#This Row],[TotalSales]]/Table1[[#This Row],[Quantity]]</f>
        <v>15912.11</v>
      </c>
    </row>
    <row r="680" spans="1:15" x14ac:dyDescent="0.35">
      <c r="A680" t="s">
        <v>738</v>
      </c>
      <c r="B680" s="1">
        <v>45615</v>
      </c>
      <c r="C680" t="s">
        <v>20</v>
      </c>
      <c r="D680" t="s">
        <v>27</v>
      </c>
      <c r="E680" t="s">
        <v>28</v>
      </c>
      <c r="F680" t="s">
        <v>29</v>
      </c>
      <c r="G680" t="s">
        <v>30</v>
      </c>
      <c r="H680">
        <v>10</v>
      </c>
      <c r="I680">
        <v>21770.46</v>
      </c>
      <c r="J680" s="2">
        <v>0</v>
      </c>
      <c r="K680" t="s">
        <v>25</v>
      </c>
      <c r="L680">
        <v>217704.6</v>
      </c>
      <c r="M680" t="str">
        <f>TEXT(Table1[[#This Row],[OrderDate]], "mmm")</f>
        <v>Nov</v>
      </c>
      <c r="N680" t="str">
        <f>IF(Table1[[#This Row],[TotalSales]]&gt;50000,"High",IF(L680&gt;20000,"Medium","Low"))</f>
        <v>High</v>
      </c>
      <c r="O680">
        <f>Table1[[#This Row],[TotalSales]]/Table1[[#This Row],[Quantity]]</f>
        <v>21770.46</v>
      </c>
    </row>
    <row r="681" spans="1:15" x14ac:dyDescent="0.35">
      <c r="A681" t="s">
        <v>739</v>
      </c>
      <c r="B681" s="1">
        <v>45527</v>
      </c>
      <c r="C681" t="s">
        <v>46</v>
      </c>
      <c r="D681" t="s">
        <v>71</v>
      </c>
      <c r="E681" t="s">
        <v>15</v>
      </c>
      <c r="F681" t="s">
        <v>56</v>
      </c>
      <c r="G681" t="s">
        <v>17</v>
      </c>
      <c r="H681">
        <v>6</v>
      </c>
      <c r="I681">
        <v>16549.62</v>
      </c>
      <c r="J681" s="2">
        <v>0</v>
      </c>
      <c r="K681" t="s">
        <v>25</v>
      </c>
      <c r="L681">
        <v>99297.72</v>
      </c>
      <c r="M681" t="str">
        <f>TEXT(Table1[[#This Row],[OrderDate]], "mmm")</f>
        <v>Aug</v>
      </c>
      <c r="N681" t="str">
        <f>IF(Table1[[#This Row],[TotalSales]]&gt;50000,"High",IF(L681&gt;20000,"Medium","Low"))</f>
        <v>High</v>
      </c>
      <c r="O681">
        <f>Table1[[#This Row],[TotalSales]]/Table1[[#This Row],[Quantity]]</f>
        <v>16549.62</v>
      </c>
    </row>
    <row r="682" spans="1:15" x14ac:dyDescent="0.35">
      <c r="A682" t="s">
        <v>740</v>
      </c>
      <c r="B682" s="1">
        <v>45555</v>
      </c>
      <c r="C682" t="s">
        <v>46</v>
      </c>
      <c r="D682" t="s">
        <v>71</v>
      </c>
      <c r="E682" t="s">
        <v>34</v>
      </c>
      <c r="F682" t="s">
        <v>61</v>
      </c>
      <c r="G682" t="s">
        <v>30</v>
      </c>
      <c r="H682">
        <v>15</v>
      </c>
      <c r="I682">
        <v>8623.34</v>
      </c>
      <c r="J682" s="2">
        <v>0</v>
      </c>
      <c r="K682" t="s">
        <v>25</v>
      </c>
      <c r="L682">
        <v>129350.1</v>
      </c>
      <c r="M682" t="str">
        <f>TEXT(Table1[[#This Row],[OrderDate]], "mmm")</f>
        <v>Sep</v>
      </c>
      <c r="N682" t="str">
        <f>IF(Table1[[#This Row],[TotalSales]]&gt;50000,"High",IF(L682&gt;20000,"Medium","Low"))</f>
        <v>High</v>
      </c>
      <c r="O682">
        <f>Table1[[#This Row],[TotalSales]]/Table1[[#This Row],[Quantity]]</f>
        <v>8623.34</v>
      </c>
    </row>
    <row r="683" spans="1:15" x14ac:dyDescent="0.35">
      <c r="A683" t="s">
        <v>741</v>
      </c>
      <c r="B683" s="1">
        <v>45385</v>
      </c>
      <c r="C683" t="s">
        <v>13</v>
      </c>
      <c r="D683" t="s">
        <v>37</v>
      </c>
      <c r="E683" t="s">
        <v>28</v>
      </c>
      <c r="F683" t="s">
        <v>29</v>
      </c>
      <c r="G683" t="s">
        <v>66</v>
      </c>
      <c r="H683">
        <v>9</v>
      </c>
      <c r="I683">
        <v>44672.6</v>
      </c>
      <c r="J683" s="2">
        <v>0</v>
      </c>
      <c r="K683" t="s">
        <v>31</v>
      </c>
      <c r="L683">
        <v>402053.4</v>
      </c>
      <c r="M683" t="str">
        <f>TEXT(Table1[[#This Row],[OrderDate]], "mmm")</f>
        <v>Apr</v>
      </c>
      <c r="N683" t="str">
        <f>IF(Table1[[#This Row],[TotalSales]]&gt;50000,"High",IF(L683&gt;20000,"Medium","Low"))</f>
        <v>High</v>
      </c>
      <c r="O683">
        <f>Table1[[#This Row],[TotalSales]]/Table1[[#This Row],[Quantity]]</f>
        <v>44672.600000000006</v>
      </c>
    </row>
    <row r="684" spans="1:15" x14ac:dyDescent="0.35">
      <c r="A684" t="s">
        <v>742</v>
      </c>
      <c r="B684" s="1">
        <v>45437</v>
      </c>
      <c r="C684" t="s">
        <v>46</v>
      </c>
      <c r="D684" t="s">
        <v>47</v>
      </c>
      <c r="E684" t="s">
        <v>28</v>
      </c>
      <c r="F684" t="s">
        <v>125</v>
      </c>
      <c r="G684" t="s">
        <v>30</v>
      </c>
      <c r="H684">
        <v>1</v>
      </c>
      <c r="I684">
        <v>7525.68</v>
      </c>
      <c r="J684" s="2">
        <v>0.05</v>
      </c>
      <c r="K684" t="s">
        <v>44</v>
      </c>
      <c r="L684">
        <v>7149.4</v>
      </c>
      <c r="M684" t="str">
        <f>TEXT(Table1[[#This Row],[OrderDate]], "mmm")</f>
        <v>May</v>
      </c>
      <c r="N684" t="str">
        <f>IF(Table1[[#This Row],[TotalSales]]&gt;50000,"High",IF(L684&gt;20000,"Medium","Low"))</f>
        <v>Low</v>
      </c>
      <c r="O684">
        <f>Table1[[#This Row],[TotalSales]]/Table1[[#This Row],[Quantity]]</f>
        <v>7149.4</v>
      </c>
    </row>
    <row r="685" spans="1:15" x14ac:dyDescent="0.35">
      <c r="A685" t="s">
        <v>743</v>
      </c>
      <c r="B685" s="1">
        <v>45545</v>
      </c>
      <c r="C685" t="s">
        <v>40</v>
      </c>
      <c r="D685" t="s">
        <v>51</v>
      </c>
      <c r="E685" t="s">
        <v>15</v>
      </c>
      <c r="F685" t="s">
        <v>38</v>
      </c>
      <c r="G685" t="s">
        <v>66</v>
      </c>
      <c r="H685">
        <v>13</v>
      </c>
      <c r="I685">
        <v>37559.160000000003</v>
      </c>
      <c r="J685" s="2">
        <v>0</v>
      </c>
      <c r="K685" t="s">
        <v>18</v>
      </c>
      <c r="L685">
        <v>488269.08</v>
      </c>
      <c r="M685" t="str">
        <f>TEXT(Table1[[#This Row],[OrderDate]], "mmm")</f>
        <v>Sep</v>
      </c>
      <c r="N685" t="str">
        <f>IF(Table1[[#This Row],[TotalSales]]&gt;50000,"High",IF(L685&gt;20000,"Medium","Low"))</f>
        <v>High</v>
      </c>
      <c r="O685">
        <f>Table1[[#This Row],[TotalSales]]/Table1[[#This Row],[Quantity]]</f>
        <v>37559.160000000003</v>
      </c>
    </row>
    <row r="686" spans="1:15" x14ac:dyDescent="0.35">
      <c r="A686" t="s">
        <v>744</v>
      </c>
      <c r="B686" s="1">
        <v>45371</v>
      </c>
      <c r="C686" t="s">
        <v>46</v>
      </c>
      <c r="D686" t="s">
        <v>47</v>
      </c>
      <c r="E686" t="s">
        <v>15</v>
      </c>
      <c r="F686" t="s">
        <v>16</v>
      </c>
      <c r="G686" t="s">
        <v>43</v>
      </c>
      <c r="H686">
        <v>6</v>
      </c>
      <c r="I686">
        <v>27600.05</v>
      </c>
      <c r="J686" s="2">
        <v>0.2</v>
      </c>
      <c r="K686" t="s">
        <v>25</v>
      </c>
      <c r="L686">
        <v>132480.24</v>
      </c>
      <c r="M686" t="str">
        <f>TEXT(Table1[[#This Row],[OrderDate]], "mmm")</f>
        <v>Mar</v>
      </c>
      <c r="N686" t="str">
        <f>IF(Table1[[#This Row],[TotalSales]]&gt;50000,"High",IF(L686&gt;20000,"Medium","Low"))</f>
        <v>High</v>
      </c>
      <c r="O686">
        <f>Table1[[#This Row],[TotalSales]]/Table1[[#This Row],[Quantity]]</f>
        <v>22080.039999999997</v>
      </c>
    </row>
    <row r="687" spans="1:15" x14ac:dyDescent="0.35">
      <c r="A687" t="s">
        <v>745</v>
      </c>
      <c r="B687" s="1">
        <v>45334</v>
      </c>
      <c r="C687" t="s">
        <v>13</v>
      </c>
      <c r="D687" t="s">
        <v>37</v>
      </c>
      <c r="E687" t="s">
        <v>34</v>
      </c>
      <c r="F687" t="s">
        <v>48</v>
      </c>
      <c r="G687" t="s">
        <v>49</v>
      </c>
      <c r="H687">
        <v>13</v>
      </c>
      <c r="I687">
        <v>23706.57</v>
      </c>
      <c r="J687" s="2">
        <v>0.1</v>
      </c>
      <c r="K687" t="s">
        <v>18</v>
      </c>
      <c r="L687">
        <v>277366.87</v>
      </c>
      <c r="M687" t="str">
        <f>TEXT(Table1[[#This Row],[OrderDate]], "mmm")</f>
        <v>Feb</v>
      </c>
      <c r="N687" t="str">
        <f>IF(Table1[[#This Row],[TotalSales]]&gt;50000,"High",IF(L687&gt;20000,"Medium","Low"))</f>
        <v>High</v>
      </c>
      <c r="O687">
        <f>Table1[[#This Row],[TotalSales]]/Table1[[#This Row],[Quantity]]</f>
        <v>21335.913076923076</v>
      </c>
    </row>
    <row r="688" spans="1:15" x14ac:dyDescent="0.35">
      <c r="A688" t="s">
        <v>746</v>
      </c>
      <c r="B688" s="1">
        <v>45344</v>
      </c>
      <c r="C688" t="s">
        <v>40</v>
      </c>
      <c r="D688" t="s">
        <v>51</v>
      </c>
      <c r="E688" t="s">
        <v>34</v>
      </c>
      <c r="F688" t="s">
        <v>61</v>
      </c>
      <c r="G688" t="s">
        <v>69</v>
      </c>
      <c r="H688">
        <v>12</v>
      </c>
      <c r="I688">
        <v>40229.03</v>
      </c>
      <c r="J688" s="2">
        <v>0.1</v>
      </c>
      <c r="K688" t="s">
        <v>31</v>
      </c>
      <c r="L688">
        <v>434473.52</v>
      </c>
      <c r="M688" t="str">
        <f>TEXT(Table1[[#This Row],[OrderDate]], "mmm")</f>
        <v>Feb</v>
      </c>
      <c r="N688" t="str">
        <f>IF(Table1[[#This Row],[TotalSales]]&gt;50000,"High",IF(L688&gt;20000,"Medium","Low"))</f>
        <v>High</v>
      </c>
      <c r="O688">
        <f>Table1[[#This Row],[TotalSales]]/Table1[[#This Row],[Quantity]]</f>
        <v>36206.126666666671</v>
      </c>
    </row>
    <row r="689" spans="1:15" x14ac:dyDescent="0.35">
      <c r="A689" t="s">
        <v>747</v>
      </c>
      <c r="B689" s="1">
        <v>45390</v>
      </c>
      <c r="C689" t="s">
        <v>46</v>
      </c>
      <c r="D689" t="s">
        <v>79</v>
      </c>
      <c r="E689" t="s">
        <v>22</v>
      </c>
      <c r="F689" t="s">
        <v>82</v>
      </c>
      <c r="G689" t="s">
        <v>49</v>
      </c>
      <c r="H689">
        <v>15</v>
      </c>
      <c r="I689">
        <v>8212.26</v>
      </c>
      <c r="J689" s="2">
        <v>0</v>
      </c>
      <c r="K689" t="s">
        <v>18</v>
      </c>
      <c r="L689">
        <v>123183.9</v>
      </c>
      <c r="M689" t="str">
        <f>TEXT(Table1[[#This Row],[OrderDate]], "mmm")</f>
        <v>Apr</v>
      </c>
      <c r="N689" t="str">
        <f>IF(Table1[[#This Row],[TotalSales]]&gt;50000,"High",IF(L689&gt;20000,"Medium","Low"))</f>
        <v>High</v>
      </c>
      <c r="O689">
        <f>Table1[[#This Row],[TotalSales]]/Table1[[#This Row],[Quantity]]</f>
        <v>8212.26</v>
      </c>
    </row>
    <row r="690" spans="1:15" x14ac:dyDescent="0.35">
      <c r="A690" t="s">
        <v>748</v>
      </c>
      <c r="B690" s="1">
        <v>45323</v>
      </c>
      <c r="C690" t="s">
        <v>40</v>
      </c>
      <c r="D690" t="s">
        <v>41</v>
      </c>
      <c r="E690" t="s">
        <v>22</v>
      </c>
      <c r="F690" t="s">
        <v>52</v>
      </c>
      <c r="G690" t="s">
        <v>66</v>
      </c>
      <c r="H690">
        <v>9</v>
      </c>
      <c r="I690">
        <v>23603.59</v>
      </c>
      <c r="J690" s="2">
        <v>0</v>
      </c>
      <c r="K690" t="s">
        <v>18</v>
      </c>
      <c r="L690">
        <v>212432.31</v>
      </c>
      <c r="M690" t="str">
        <f>TEXT(Table1[[#This Row],[OrderDate]], "mmm")</f>
        <v>Feb</v>
      </c>
      <c r="N690" t="str">
        <f>IF(Table1[[#This Row],[TotalSales]]&gt;50000,"High",IF(L690&gt;20000,"Medium","Low"))</f>
        <v>High</v>
      </c>
      <c r="O690">
        <f>Table1[[#This Row],[TotalSales]]/Table1[[#This Row],[Quantity]]</f>
        <v>23603.59</v>
      </c>
    </row>
    <row r="691" spans="1:15" x14ac:dyDescent="0.35">
      <c r="A691" t="s">
        <v>749</v>
      </c>
      <c r="B691" s="1">
        <v>45292</v>
      </c>
      <c r="C691" t="s">
        <v>20</v>
      </c>
      <c r="D691" t="s">
        <v>27</v>
      </c>
      <c r="E691" t="s">
        <v>28</v>
      </c>
      <c r="F691" t="s">
        <v>76</v>
      </c>
      <c r="G691" t="s">
        <v>24</v>
      </c>
      <c r="H691">
        <v>1</v>
      </c>
      <c r="I691">
        <v>36391.61</v>
      </c>
      <c r="J691" s="2">
        <v>0</v>
      </c>
      <c r="K691" t="s">
        <v>44</v>
      </c>
      <c r="L691">
        <v>36391.61</v>
      </c>
      <c r="M691" t="str">
        <f>TEXT(Table1[[#This Row],[OrderDate]], "mmm")</f>
        <v>Jan</v>
      </c>
      <c r="N691" t="str">
        <f>IF(Table1[[#This Row],[TotalSales]]&gt;50000,"High",IF(L691&gt;20000,"Medium","Low"))</f>
        <v>Medium</v>
      </c>
      <c r="O691">
        <f>Table1[[#This Row],[TotalSales]]/Table1[[#This Row],[Quantity]]</f>
        <v>36391.61</v>
      </c>
    </row>
    <row r="692" spans="1:15" x14ac:dyDescent="0.35">
      <c r="A692" t="s">
        <v>750</v>
      </c>
      <c r="B692" s="1">
        <v>45349</v>
      </c>
      <c r="C692" t="s">
        <v>13</v>
      </c>
      <c r="D692" t="s">
        <v>37</v>
      </c>
      <c r="E692" t="s">
        <v>34</v>
      </c>
      <c r="F692" t="s">
        <v>48</v>
      </c>
      <c r="G692" t="s">
        <v>83</v>
      </c>
      <c r="H692">
        <v>2</v>
      </c>
      <c r="I692">
        <v>36858.33</v>
      </c>
      <c r="J692" s="2">
        <v>0.15</v>
      </c>
      <c r="K692" t="s">
        <v>44</v>
      </c>
      <c r="L692">
        <v>62659.16</v>
      </c>
      <c r="M692" t="str">
        <f>TEXT(Table1[[#This Row],[OrderDate]], "mmm")</f>
        <v>Feb</v>
      </c>
      <c r="N692" t="str">
        <f>IF(Table1[[#This Row],[TotalSales]]&gt;50000,"High",IF(L692&gt;20000,"Medium","Low"))</f>
        <v>High</v>
      </c>
      <c r="O692">
        <f>Table1[[#This Row],[TotalSales]]/Table1[[#This Row],[Quantity]]</f>
        <v>31329.58</v>
      </c>
    </row>
    <row r="693" spans="1:15" x14ac:dyDescent="0.35">
      <c r="A693" t="s">
        <v>751</v>
      </c>
      <c r="B693" s="1">
        <v>45488</v>
      </c>
      <c r="C693" t="s">
        <v>20</v>
      </c>
      <c r="D693" t="s">
        <v>21</v>
      </c>
      <c r="E693" t="s">
        <v>22</v>
      </c>
      <c r="F693" t="s">
        <v>52</v>
      </c>
      <c r="G693" t="s">
        <v>69</v>
      </c>
      <c r="H693">
        <v>2</v>
      </c>
      <c r="I693">
        <v>48818.22</v>
      </c>
      <c r="J693" s="2">
        <v>0</v>
      </c>
      <c r="K693" t="s">
        <v>18</v>
      </c>
      <c r="L693">
        <v>97636.44</v>
      </c>
      <c r="M693" t="str">
        <f>TEXT(Table1[[#This Row],[OrderDate]], "mmm")</f>
        <v>Jul</v>
      </c>
      <c r="N693" t="str">
        <f>IF(Table1[[#This Row],[TotalSales]]&gt;50000,"High",IF(L693&gt;20000,"Medium","Low"))</f>
        <v>High</v>
      </c>
      <c r="O693">
        <f>Table1[[#This Row],[TotalSales]]/Table1[[#This Row],[Quantity]]</f>
        <v>48818.22</v>
      </c>
    </row>
    <row r="694" spans="1:15" x14ac:dyDescent="0.35">
      <c r="A694" t="s">
        <v>752</v>
      </c>
      <c r="B694" s="1">
        <v>45608</v>
      </c>
      <c r="C694" t="s">
        <v>46</v>
      </c>
      <c r="D694" t="s">
        <v>71</v>
      </c>
      <c r="E694" t="s">
        <v>34</v>
      </c>
      <c r="F694" t="s">
        <v>35</v>
      </c>
      <c r="G694" t="s">
        <v>69</v>
      </c>
      <c r="H694">
        <v>6</v>
      </c>
      <c r="I694">
        <v>16720.91</v>
      </c>
      <c r="J694" s="2">
        <v>0.05</v>
      </c>
      <c r="K694" t="s">
        <v>25</v>
      </c>
      <c r="L694">
        <v>95309.19</v>
      </c>
      <c r="M694" t="str">
        <f>TEXT(Table1[[#This Row],[OrderDate]], "mmm")</f>
        <v>Nov</v>
      </c>
      <c r="N694" t="str">
        <f>IF(Table1[[#This Row],[TotalSales]]&gt;50000,"High",IF(L694&gt;20000,"Medium","Low"))</f>
        <v>High</v>
      </c>
      <c r="O694">
        <f>Table1[[#This Row],[TotalSales]]/Table1[[#This Row],[Quantity]]</f>
        <v>15884.865</v>
      </c>
    </row>
    <row r="695" spans="1:15" x14ac:dyDescent="0.35">
      <c r="A695" t="s">
        <v>753</v>
      </c>
      <c r="B695" s="1">
        <v>45614</v>
      </c>
      <c r="C695" t="s">
        <v>13</v>
      </c>
      <c r="D695" t="s">
        <v>37</v>
      </c>
      <c r="E695" t="s">
        <v>28</v>
      </c>
      <c r="F695" t="s">
        <v>29</v>
      </c>
      <c r="G695" t="s">
        <v>43</v>
      </c>
      <c r="H695">
        <v>12</v>
      </c>
      <c r="I695">
        <v>6635.11</v>
      </c>
      <c r="J695" s="2">
        <v>0.05</v>
      </c>
      <c r="K695" t="s">
        <v>18</v>
      </c>
      <c r="L695">
        <v>75640.25</v>
      </c>
      <c r="M695" t="str">
        <f>TEXT(Table1[[#This Row],[OrderDate]], "mmm")</f>
        <v>Nov</v>
      </c>
      <c r="N695" t="str">
        <f>IF(Table1[[#This Row],[TotalSales]]&gt;50000,"High",IF(L695&gt;20000,"Medium","Low"))</f>
        <v>High</v>
      </c>
      <c r="O695">
        <f>Table1[[#This Row],[TotalSales]]/Table1[[#This Row],[Quantity]]</f>
        <v>6303.354166666667</v>
      </c>
    </row>
    <row r="696" spans="1:15" x14ac:dyDescent="0.35">
      <c r="A696" t="s">
        <v>754</v>
      </c>
      <c r="B696" s="1">
        <v>45581</v>
      </c>
      <c r="C696" t="s">
        <v>13</v>
      </c>
      <c r="D696" t="s">
        <v>14</v>
      </c>
      <c r="E696" t="s">
        <v>28</v>
      </c>
      <c r="F696" t="s">
        <v>125</v>
      </c>
      <c r="G696" t="s">
        <v>17</v>
      </c>
      <c r="H696">
        <v>1</v>
      </c>
      <c r="I696">
        <v>43732.59</v>
      </c>
      <c r="J696" s="2">
        <v>0.15</v>
      </c>
      <c r="K696" t="s">
        <v>18</v>
      </c>
      <c r="L696">
        <v>37172.699999999997</v>
      </c>
      <c r="M696" t="str">
        <f>TEXT(Table1[[#This Row],[OrderDate]], "mmm")</f>
        <v>Oct</v>
      </c>
      <c r="N696" t="str">
        <f>IF(Table1[[#This Row],[TotalSales]]&gt;50000,"High",IF(L696&gt;20000,"Medium","Low"))</f>
        <v>Medium</v>
      </c>
      <c r="O696">
        <f>Table1[[#This Row],[TotalSales]]/Table1[[#This Row],[Quantity]]</f>
        <v>37172.699999999997</v>
      </c>
    </row>
    <row r="697" spans="1:15" x14ac:dyDescent="0.35">
      <c r="A697" t="s">
        <v>755</v>
      </c>
      <c r="B697" s="1">
        <v>45602</v>
      </c>
      <c r="C697" t="s">
        <v>40</v>
      </c>
      <c r="D697" t="s">
        <v>41</v>
      </c>
      <c r="E697" t="s">
        <v>34</v>
      </c>
      <c r="F697" t="s">
        <v>88</v>
      </c>
      <c r="G697" t="s">
        <v>30</v>
      </c>
      <c r="H697">
        <v>5</v>
      </c>
      <c r="I697">
        <v>11539.47</v>
      </c>
      <c r="J697" s="2">
        <v>0</v>
      </c>
      <c r="K697" t="s">
        <v>44</v>
      </c>
      <c r="L697">
        <v>57697.35</v>
      </c>
      <c r="M697" t="str">
        <f>TEXT(Table1[[#This Row],[OrderDate]], "mmm")</f>
        <v>Nov</v>
      </c>
      <c r="N697" t="str">
        <f>IF(Table1[[#This Row],[TotalSales]]&gt;50000,"High",IF(L697&gt;20000,"Medium","Low"))</f>
        <v>High</v>
      </c>
      <c r="O697">
        <f>Table1[[#This Row],[TotalSales]]/Table1[[#This Row],[Quantity]]</f>
        <v>11539.47</v>
      </c>
    </row>
    <row r="698" spans="1:15" x14ac:dyDescent="0.35">
      <c r="A698" t="s">
        <v>756</v>
      </c>
      <c r="B698" s="1">
        <v>45429</v>
      </c>
      <c r="C698" t="s">
        <v>13</v>
      </c>
      <c r="D698" t="s">
        <v>33</v>
      </c>
      <c r="E698" t="s">
        <v>28</v>
      </c>
      <c r="F698" t="s">
        <v>125</v>
      </c>
      <c r="G698" t="s">
        <v>49</v>
      </c>
      <c r="H698">
        <v>9</v>
      </c>
      <c r="I698">
        <v>6726.87</v>
      </c>
      <c r="J698" s="2">
        <v>0</v>
      </c>
      <c r="K698" t="s">
        <v>18</v>
      </c>
      <c r="L698">
        <v>60541.83</v>
      </c>
      <c r="M698" t="str">
        <f>TEXT(Table1[[#This Row],[OrderDate]], "mmm")</f>
        <v>May</v>
      </c>
      <c r="N698" t="str">
        <f>IF(Table1[[#This Row],[TotalSales]]&gt;50000,"High",IF(L698&gt;20000,"Medium","Low"))</f>
        <v>High</v>
      </c>
      <c r="O698">
        <f>Table1[[#This Row],[TotalSales]]/Table1[[#This Row],[Quantity]]</f>
        <v>6726.87</v>
      </c>
    </row>
    <row r="699" spans="1:15" x14ac:dyDescent="0.35">
      <c r="A699" t="s">
        <v>757</v>
      </c>
      <c r="B699" s="1">
        <v>45565</v>
      </c>
      <c r="C699" t="s">
        <v>20</v>
      </c>
      <c r="D699" t="s">
        <v>27</v>
      </c>
      <c r="E699" t="s">
        <v>28</v>
      </c>
      <c r="F699" t="s">
        <v>76</v>
      </c>
      <c r="G699" t="s">
        <v>49</v>
      </c>
      <c r="H699">
        <v>2</v>
      </c>
      <c r="I699">
        <v>276.72000000000003</v>
      </c>
      <c r="J699" s="2">
        <v>0</v>
      </c>
      <c r="K699" t="s">
        <v>18</v>
      </c>
      <c r="L699">
        <v>553.44000000000005</v>
      </c>
      <c r="M699" t="str">
        <f>TEXT(Table1[[#This Row],[OrderDate]], "mmm")</f>
        <v>Sep</v>
      </c>
      <c r="N699" t="str">
        <f>IF(Table1[[#This Row],[TotalSales]]&gt;50000,"High",IF(L699&gt;20000,"Medium","Low"))</f>
        <v>Low</v>
      </c>
      <c r="O699">
        <f>Table1[[#This Row],[TotalSales]]/Table1[[#This Row],[Quantity]]</f>
        <v>276.72000000000003</v>
      </c>
    </row>
    <row r="700" spans="1:15" x14ac:dyDescent="0.35">
      <c r="A700" t="s">
        <v>758</v>
      </c>
      <c r="B700" s="1">
        <v>45612</v>
      </c>
      <c r="C700" t="s">
        <v>13</v>
      </c>
      <c r="D700" t="s">
        <v>14</v>
      </c>
      <c r="E700" t="s">
        <v>34</v>
      </c>
      <c r="F700" t="s">
        <v>48</v>
      </c>
      <c r="G700" t="s">
        <v>17</v>
      </c>
      <c r="H700">
        <v>14</v>
      </c>
      <c r="I700">
        <v>770.37</v>
      </c>
      <c r="J700" s="2">
        <v>0</v>
      </c>
      <c r="K700" t="s">
        <v>25</v>
      </c>
      <c r="L700">
        <v>10785.18</v>
      </c>
      <c r="M700" t="str">
        <f>TEXT(Table1[[#This Row],[OrderDate]], "mmm")</f>
        <v>Nov</v>
      </c>
      <c r="N700" t="str">
        <f>IF(Table1[[#This Row],[TotalSales]]&gt;50000,"High",IF(L700&gt;20000,"Medium","Low"))</f>
        <v>Low</v>
      </c>
      <c r="O700">
        <f>Table1[[#This Row],[TotalSales]]/Table1[[#This Row],[Quantity]]</f>
        <v>770.37</v>
      </c>
    </row>
    <row r="701" spans="1:15" x14ac:dyDescent="0.35">
      <c r="A701" t="s">
        <v>759</v>
      </c>
      <c r="B701" s="1">
        <v>45458</v>
      </c>
      <c r="C701" t="s">
        <v>40</v>
      </c>
      <c r="D701" t="s">
        <v>55</v>
      </c>
      <c r="E701" t="s">
        <v>28</v>
      </c>
      <c r="F701" t="s">
        <v>125</v>
      </c>
      <c r="G701" t="s">
        <v>66</v>
      </c>
      <c r="H701">
        <v>5</v>
      </c>
      <c r="I701">
        <v>11374.74</v>
      </c>
      <c r="J701" s="2">
        <v>0.15</v>
      </c>
      <c r="K701" t="s">
        <v>44</v>
      </c>
      <c r="L701">
        <v>48342.64</v>
      </c>
      <c r="M701" t="str">
        <f>TEXT(Table1[[#This Row],[OrderDate]], "mmm")</f>
        <v>Jun</v>
      </c>
      <c r="N701" t="str">
        <f>IF(Table1[[#This Row],[TotalSales]]&gt;50000,"High",IF(L701&gt;20000,"Medium","Low"))</f>
        <v>Medium</v>
      </c>
      <c r="O701">
        <f>Table1[[#This Row],[TotalSales]]/Table1[[#This Row],[Quantity]]</f>
        <v>9668.5280000000002</v>
      </c>
    </row>
    <row r="702" spans="1:15" x14ac:dyDescent="0.35">
      <c r="A702" t="s">
        <v>760</v>
      </c>
      <c r="B702" s="1">
        <v>45384</v>
      </c>
      <c r="C702" t="s">
        <v>46</v>
      </c>
      <c r="D702" t="s">
        <v>79</v>
      </c>
      <c r="E702" t="s">
        <v>22</v>
      </c>
      <c r="F702" t="s">
        <v>82</v>
      </c>
      <c r="G702" t="s">
        <v>49</v>
      </c>
      <c r="H702">
        <v>8</v>
      </c>
      <c r="I702">
        <v>10339.540000000001</v>
      </c>
      <c r="J702" s="2">
        <v>0.2</v>
      </c>
      <c r="K702" t="s">
        <v>31</v>
      </c>
      <c r="L702">
        <v>66173.06</v>
      </c>
      <c r="M702" t="str">
        <f>TEXT(Table1[[#This Row],[OrderDate]], "mmm")</f>
        <v>Apr</v>
      </c>
      <c r="N702" t="str">
        <f>IF(Table1[[#This Row],[TotalSales]]&gt;50000,"High",IF(L702&gt;20000,"Medium","Low"))</f>
        <v>High</v>
      </c>
      <c r="O702">
        <f>Table1[[#This Row],[TotalSales]]/Table1[[#This Row],[Quantity]]</f>
        <v>8271.6324999999997</v>
      </c>
    </row>
    <row r="703" spans="1:15" x14ac:dyDescent="0.35">
      <c r="A703" t="s">
        <v>761</v>
      </c>
      <c r="B703" s="1">
        <v>45643</v>
      </c>
      <c r="C703" t="s">
        <v>20</v>
      </c>
      <c r="D703" t="s">
        <v>97</v>
      </c>
      <c r="E703" t="s">
        <v>28</v>
      </c>
      <c r="F703" t="s">
        <v>125</v>
      </c>
      <c r="G703" t="s">
        <v>17</v>
      </c>
      <c r="H703">
        <v>10</v>
      </c>
      <c r="I703">
        <v>10494.07</v>
      </c>
      <c r="J703" s="2">
        <v>0</v>
      </c>
      <c r="K703" t="s">
        <v>18</v>
      </c>
      <c r="L703">
        <v>104940.7</v>
      </c>
      <c r="M703" t="str">
        <f>TEXT(Table1[[#This Row],[OrderDate]], "mmm")</f>
        <v>Dec</v>
      </c>
      <c r="N703" t="str">
        <f>IF(Table1[[#This Row],[TotalSales]]&gt;50000,"High",IF(L703&gt;20000,"Medium","Low"))</f>
        <v>High</v>
      </c>
      <c r="O703">
        <f>Table1[[#This Row],[TotalSales]]/Table1[[#This Row],[Quantity]]</f>
        <v>10494.07</v>
      </c>
    </row>
    <row r="704" spans="1:15" x14ac:dyDescent="0.35">
      <c r="A704" t="s">
        <v>762</v>
      </c>
      <c r="B704" s="1">
        <v>45302</v>
      </c>
      <c r="C704" t="s">
        <v>40</v>
      </c>
      <c r="D704" t="s">
        <v>41</v>
      </c>
      <c r="E704" t="s">
        <v>15</v>
      </c>
      <c r="F704" t="s">
        <v>16</v>
      </c>
      <c r="G704" t="s">
        <v>49</v>
      </c>
      <c r="H704">
        <v>2</v>
      </c>
      <c r="I704">
        <v>45495.61</v>
      </c>
      <c r="J704" s="2">
        <v>0.2</v>
      </c>
      <c r="K704" t="s">
        <v>18</v>
      </c>
      <c r="L704">
        <v>72792.98</v>
      </c>
      <c r="M704" t="str">
        <f>TEXT(Table1[[#This Row],[OrderDate]], "mmm")</f>
        <v>Jan</v>
      </c>
      <c r="N704" t="str">
        <f>IF(Table1[[#This Row],[TotalSales]]&gt;50000,"High",IF(L704&gt;20000,"Medium","Low"))</f>
        <v>High</v>
      </c>
      <c r="O704">
        <f>Table1[[#This Row],[TotalSales]]/Table1[[#This Row],[Quantity]]</f>
        <v>36396.49</v>
      </c>
    </row>
    <row r="705" spans="1:15" x14ac:dyDescent="0.35">
      <c r="A705" t="s">
        <v>763</v>
      </c>
      <c r="B705" s="1">
        <v>45465</v>
      </c>
      <c r="C705" t="s">
        <v>46</v>
      </c>
      <c r="D705" t="s">
        <v>71</v>
      </c>
      <c r="E705" t="s">
        <v>15</v>
      </c>
      <c r="F705" t="s">
        <v>16</v>
      </c>
      <c r="G705" t="s">
        <v>49</v>
      </c>
      <c r="H705">
        <v>14</v>
      </c>
      <c r="I705">
        <v>38968.58</v>
      </c>
      <c r="J705" s="2">
        <v>0</v>
      </c>
      <c r="K705" t="s">
        <v>44</v>
      </c>
      <c r="L705">
        <v>545560.12</v>
      </c>
      <c r="M705" t="str">
        <f>TEXT(Table1[[#This Row],[OrderDate]], "mmm")</f>
        <v>Jun</v>
      </c>
      <c r="N705" t="str">
        <f>IF(Table1[[#This Row],[TotalSales]]&gt;50000,"High",IF(L705&gt;20000,"Medium","Low"))</f>
        <v>High</v>
      </c>
      <c r="O705">
        <f>Table1[[#This Row],[TotalSales]]/Table1[[#This Row],[Quantity]]</f>
        <v>38968.58</v>
      </c>
    </row>
    <row r="706" spans="1:15" x14ac:dyDescent="0.35">
      <c r="A706" t="s">
        <v>764</v>
      </c>
      <c r="B706" s="1">
        <v>45570</v>
      </c>
      <c r="C706" t="s">
        <v>20</v>
      </c>
      <c r="D706" t="s">
        <v>27</v>
      </c>
      <c r="E706" t="s">
        <v>34</v>
      </c>
      <c r="F706" t="s">
        <v>61</v>
      </c>
      <c r="G706" t="s">
        <v>66</v>
      </c>
      <c r="H706">
        <v>12</v>
      </c>
      <c r="I706">
        <v>14856.62</v>
      </c>
      <c r="J706" s="2">
        <v>0.1</v>
      </c>
      <c r="K706" t="s">
        <v>18</v>
      </c>
      <c r="L706">
        <v>160451.5</v>
      </c>
      <c r="M706" t="str">
        <f>TEXT(Table1[[#This Row],[OrderDate]], "mmm")</f>
        <v>Oct</v>
      </c>
      <c r="N706" t="str">
        <f>IF(Table1[[#This Row],[TotalSales]]&gt;50000,"High",IF(L706&gt;20000,"Medium","Low"))</f>
        <v>High</v>
      </c>
      <c r="O706">
        <f>Table1[[#This Row],[TotalSales]]/Table1[[#This Row],[Quantity]]</f>
        <v>13370.958333333334</v>
      </c>
    </row>
    <row r="707" spans="1:15" x14ac:dyDescent="0.35">
      <c r="A707" t="s">
        <v>765</v>
      </c>
      <c r="B707" s="1">
        <v>45510</v>
      </c>
      <c r="C707" t="s">
        <v>46</v>
      </c>
      <c r="D707" t="s">
        <v>47</v>
      </c>
      <c r="E707" t="s">
        <v>15</v>
      </c>
      <c r="F707" t="s">
        <v>59</v>
      </c>
      <c r="G707" t="s">
        <v>17</v>
      </c>
      <c r="H707">
        <v>7</v>
      </c>
      <c r="I707">
        <v>8276.23</v>
      </c>
      <c r="J707" s="2">
        <v>0.15</v>
      </c>
      <c r="K707" t="s">
        <v>25</v>
      </c>
      <c r="L707">
        <v>49243.57</v>
      </c>
      <c r="M707" t="str">
        <f>TEXT(Table1[[#This Row],[OrderDate]], "mmm")</f>
        <v>Aug</v>
      </c>
      <c r="N707" t="str">
        <f>IF(Table1[[#This Row],[TotalSales]]&gt;50000,"High",IF(L707&gt;20000,"Medium","Low"))</f>
        <v>Medium</v>
      </c>
      <c r="O707">
        <f>Table1[[#This Row],[TotalSales]]/Table1[[#This Row],[Quantity]]</f>
        <v>7034.795714285714</v>
      </c>
    </row>
    <row r="708" spans="1:15" x14ac:dyDescent="0.35">
      <c r="A708" t="s">
        <v>766</v>
      </c>
      <c r="B708" s="1">
        <v>45436</v>
      </c>
      <c r="C708" t="s">
        <v>20</v>
      </c>
      <c r="D708" t="s">
        <v>27</v>
      </c>
      <c r="E708" t="s">
        <v>22</v>
      </c>
      <c r="F708" t="s">
        <v>23</v>
      </c>
      <c r="G708" t="s">
        <v>24</v>
      </c>
      <c r="H708">
        <v>6</v>
      </c>
      <c r="I708">
        <v>4380.6899999999996</v>
      </c>
      <c r="J708" s="2">
        <v>0</v>
      </c>
      <c r="K708" t="s">
        <v>18</v>
      </c>
      <c r="L708">
        <v>26284.14</v>
      </c>
      <c r="M708" t="str">
        <f>TEXT(Table1[[#This Row],[OrderDate]], "mmm")</f>
        <v>May</v>
      </c>
      <c r="N708" t="str">
        <f>IF(Table1[[#This Row],[TotalSales]]&gt;50000,"High",IF(L708&gt;20000,"Medium","Low"))</f>
        <v>Medium</v>
      </c>
      <c r="O708">
        <f>Table1[[#This Row],[TotalSales]]/Table1[[#This Row],[Quantity]]</f>
        <v>4380.6899999999996</v>
      </c>
    </row>
    <row r="709" spans="1:15" x14ac:dyDescent="0.35">
      <c r="A709" t="s">
        <v>767</v>
      </c>
      <c r="B709" s="1">
        <v>45509</v>
      </c>
      <c r="C709" t="s">
        <v>20</v>
      </c>
      <c r="D709" t="s">
        <v>21</v>
      </c>
      <c r="E709" t="s">
        <v>34</v>
      </c>
      <c r="F709" t="s">
        <v>48</v>
      </c>
      <c r="G709" t="s">
        <v>30</v>
      </c>
      <c r="H709">
        <v>3</v>
      </c>
      <c r="I709">
        <v>49142.84</v>
      </c>
      <c r="J709" s="2">
        <v>0.15</v>
      </c>
      <c r="K709" t="s">
        <v>44</v>
      </c>
      <c r="L709">
        <v>125314.24000000001</v>
      </c>
      <c r="M709" t="str">
        <f>TEXT(Table1[[#This Row],[OrderDate]], "mmm")</f>
        <v>Aug</v>
      </c>
      <c r="N709" t="str">
        <f>IF(Table1[[#This Row],[TotalSales]]&gt;50000,"High",IF(L709&gt;20000,"Medium","Low"))</f>
        <v>High</v>
      </c>
      <c r="O709">
        <f>Table1[[#This Row],[TotalSales]]/Table1[[#This Row],[Quantity]]</f>
        <v>41771.413333333338</v>
      </c>
    </row>
    <row r="710" spans="1:15" x14ac:dyDescent="0.35">
      <c r="A710" t="s">
        <v>768</v>
      </c>
      <c r="B710" s="1">
        <v>45627</v>
      </c>
      <c r="C710" t="s">
        <v>46</v>
      </c>
      <c r="D710" t="s">
        <v>47</v>
      </c>
      <c r="E710" t="s">
        <v>28</v>
      </c>
      <c r="F710" t="s">
        <v>76</v>
      </c>
      <c r="G710" t="s">
        <v>17</v>
      </c>
      <c r="H710">
        <v>3</v>
      </c>
      <c r="I710">
        <v>17750.03</v>
      </c>
      <c r="J710" s="2">
        <v>0.05</v>
      </c>
      <c r="K710" t="s">
        <v>25</v>
      </c>
      <c r="L710">
        <v>50587.59</v>
      </c>
      <c r="M710" t="str">
        <f>TEXT(Table1[[#This Row],[OrderDate]], "mmm")</f>
        <v>Dec</v>
      </c>
      <c r="N710" t="str">
        <f>IF(Table1[[#This Row],[TotalSales]]&gt;50000,"High",IF(L710&gt;20000,"Medium","Low"))</f>
        <v>High</v>
      </c>
      <c r="O710">
        <f>Table1[[#This Row],[TotalSales]]/Table1[[#This Row],[Quantity]]</f>
        <v>16862.53</v>
      </c>
    </row>
    <row r="711" spans="1:15" x14ac:dyDescent="0.35">
      <c r="A711" t="s">
        <v>769</v>
      </c>
      <c r="B711" s="1">
        <v>45357</v>
      </c>
      <c r="C711" t="s">
        <v>46</v>
      </c>
      <c r="D711" t="s">
        <v>79</v>
      </c>
      <c r="E711" t="s">
        <v>28</v>
      </c>
      <c r="F711" t="s">
        <v>125</v>
      </c>
      <c r="G711" t="s">
        <v>83</v>
      </c>
      <c r="H711">
        <v>3</v>
      </c>
      <c r="I711">
        <v>42260.94</v>
      </c>
      <c r="J711" s="2">
        <v>0</v>
      </c>
      <c r="K711" t="s">
        <v>18</v>
      </c>
      <c r="L711">
        <v>126782.82</v>
      </c>
      <c r="M711" t="str">
        <f>TEXT(Table1[[#This Row],[OrderDate]], "mmm")</f>
        <v>Mar</v>
      </c>
      <c r="N711" t="str">
        <f>IF(Table1[[#This Row],[TotalSales]]&gt;50000,"High",IF(L711&gt;20000,"Medium","Low"))</f>
        <v>High</v>
      </c>
      <c r="O711">
        <f>Table1[[#This Row],[TotalSales]]/Table1[[#This Row],[Quantity]]</f>
        <v>42260.94</v>
      </c>
    </row>
    <row r="712" spans="1:15" x14ac:dyDescent="0.35">
      <c r="A712" t="s">
        <v>770</v>
      </c>
      <c r="B712" s="1">
        <v>45546</v>
      </c>
      <c r="C712" t="s">
        <v>40</v>
      </c>
      <c r="D712" t="s">
        <v>51</v>
      </c>
      <c r="E712" t="s">
        <v>22</v>
      </c>
      <c r="F712" t="s">
        <v>82</v>
      </c>
      <c r="G712" t="s">
        <v>69</v>
      </c>
      <c r="H712">
        <v>9</v>
      </c>
      <c r="I712">
        <v>29450.63</v>
      </c>
      <c r="J712" s="2">
        <v>0.1</v>
      </c>
      <c r="K712" t="s">
        <v>31</v>
      </c>
      <c r="L712">
        <v>238550.1</v>
      </c>
      <c r="M712" t="str">
        <f>TEXT(Table1[[#This Row],[OrderDate]], "mmm")</f>
        <v>Sep</v>
      </c>
      <c r="N712" t="str">
        <f>IF(Table1[[#This Row],[TotalSales]]&gt;50000,"High",IF(L712&gt;20000,"Medium","Low"))</f>
        <v>High</v>
      </c>
      <c r="O712">
        <f>Table1[[#This Row],[TotalSales]]/Table1[[#This Row],[Quantity]]</f>
        <v>26505.566666666666</v>
      </c>
    </row>
    <row r="713" spans="1:15" x14ac:dyDescent="0.35">
      <c r="A713" t="s">
        <v>771</v>
      </c>
      <c r="B713" s="1">
        <v>45300</v>
      </c>
      <c r="C713" t="s">
        <v>46</v>
      </c>
      <c r="D713" t="s">
        <v>47</v>
      </c>
      <c r="E713" t="s">
        <v>22</v>
      </c>
      <c r="F713" t="s">
        <v>52</v>
      </c>
      <c r="G713" t="s">
        <v>24</v>
      </c>
      <c r="H713">
        <v>6</v>
      </c>
      <c r="I713">
        <v>30798.92</v>
      </c>
      <c r="J713" s="2">
        <v>0</v>
      </c>
      <c r="K713" t="s">
        <v>44</v>
      </c>
      <c r="L713">
        <v>184793.52</v>
      </c>
      <c r="M713" t="str">
        <f>TEXT(Table1[[#This Row],[OrderDate]], "mmm")</f>
        <v>Jan</v>
      </c>
      <c r="N713" t="str">
        <f>IF(Table1[[#This Row],[TotalSales]]&gt;50000,"High",IF(L713&gt;20000,"Medium","Low"))</f>
        <v>High</v>
      </c>
      <c r="O713">
        <f>Table1[[#This Row],[TotalSales]]/Table1[[#This Row],[Quantity]]</f>
        <v>30798.92</v>
      </c>
    </row>
    <row r="714" spans="1:15" x14ac:dyDescent="0.35">
      <c r="A714" t="s">
        <v>772</v>
      </c>
      <c r="B714" s="1">
        <v>45399</v>
      </c>
      <c r="C714" t="s">
        <v>40</v>
      </c>
      <c r="D714" t="s">
        <v>55</v>
      </c>
      <c r="E714" t="s">
        <v>34</v>
      </c>
      <c r="F714" t="s">
        <v>61</v>
      </c>
      <c r="G714" t="s">
        <v>43</v>
      </c>
      <c r="H714">
        <v>14</v>
      </c>
      <c r="I714">
        <v>12507.38</v>
      </c>
      <c r="J714" s="2">
        <v>0.15</v>
      </c>
      <c r="K714" t="s">
        <v>25</v>
      </c>
      <c r="L714">
        <v>148837.82</v>
      </c>
      <c r="M714" t="str">
        <f>TEXT(Table1[[#This Row],[OrderDate]], "mmm")</f>
        <v>Apr</v>
      </c>
      <c r="N714" t="str">
        <f>IF(Table1[[#This Row],[TotalSales]]&gt;50000,"High",IF(L714&gt;20000,"Medium","Low"))</f>
        <v>High</v>
      </c>
      <c r="O714">
        <f>Table1[[#This Row],[TotalSales]]/Table1[[#This Row],[Quantity]]</f>
        <v>10631.272857142858</v>
      </c>
    </row>
    <row r="715" spans="1:15" x14ac:dyDescent="0.35">
      <c r="A715" t="s">
        <v>773</v>
      </c>
      <c r="B715" s="1">
        <v>45589</v>
      </c>
      <c r="C715" t="s">
        <v>46</v>
      </c>
      <c r="D715" t="s">
        <v>71</v>
      </c>
      <c r="E715" t="s">
        <v>28</v>
      </c>
      <c r="F715" t="s">
        <v>76</v>
      </c>
      <c r="G715" t="s">
        <v>17</v>
      </c>
      <c r="H715">
        <v>2</v>
      </c>
      <c r="I715">
        <v>26330.1</v>
      </c>
      <c r="J715" s="2">
        <v>0.1</v>
      </c>
      <c r="K715" t="s">
        <v>31</v>
      </c>
      <c r="L715">
        <v>47394.18</v>
      </c>
      <c r="M715" t="str">
        <f>TEXT(Table1[[#This Row],[OrderDate]], "mmm")</f>
        <v>Oct</v>
      </c>
      <c r="N715" t="str">
        <f>IF(Table1[[#This Row],[TotalSales]]&gt;50000,"High",IF(L715&gt;20000,"Medium","Low"))</f>
        <v>Medium</v>
      </c>
      <c r="O715">
        <f>Table1[[#This Row],[TotalSales]]/Table1[[#This Row],[Quantity]]</f>
        <v>23697.09</v>
      </c>
    </row>
    <row r="716" spans="1:15" x14ac:dyDescent="0.35">
      <c r="A716" t="s">
        <v>774</v>
      </c>
      <c r="B716" s="1">
        <v>45363</v>
      </c>
      <c r="C716" t="s">
        <v>20</v>
      </c>
      <c r="D716" t="s">
        <v>97</v>
      </c>
      <c r="E716" t="s">
        <v>34</v>
      </c>
      <c r="F716" t="s">
        <v>61</v>
      </c>
      <c r="G716" t="s">
        <v>43</v>
      </c>
      <c r="H716">
        <v>12</v>
      </c>
      <c r="I716">
        <v>29104.26</v>
      </c>
      <c r="J716" s="2">
        <v>0</v>
      </c>
      <c r="K716" t="s">
        <v>44</v>
      </c>
      <c r="L716">
        <v>349251.12</v>
      </c>
      <c r="M716" t="str">
        <f>TEXT(Table1[[#This Row],[OrderDate]], "mmm")</f>
        <v>Mar</v>
      </c>
      <c r="N716" t="str">
        <f>IF(Table1[[#This Row],[TotalSales]]&gt;50000,"High",IF(L716&gt;20000,"Medium","Low"))</f>
        <v>High</v>
      </c>
      <c r="O716">
        <f>Table1[[#This Row],[TotalSales]]/Table1[[#This Row],[Quantity]]</f>
        <v>29104.26</v>
      </c>
    </row>
    <row r="717" spans="1:15" x14ac:dyDescent="0.35">
      <c r="A717" t="s">
        <v>775</v>
      </c>
      <c r="B717" s="1">
        <v>45308</v>
      </c>
      <c r="C717" t="s">
        <v>46</v>
      </c>
      <c r="D717" t="s">
        <v>71</v>
      </c>
      <c r="E717" t="s">
        <v>15</v>
      </c>
      <c r="F717" t="s">
        <v>59</v>
      </c>
      <c r="G717" t="s">
        <v>30</v>
      </c>
      <c r="H717">
        <v>10</v>
      </c>
      <c r="I717">
        <v>41362.080000000002</v>
      </c>
      <c r="J717" s="2">
        <v>0.1</v>
      </c>
      <c r="K717" t="s">
        <v>44</v>
      </c>
      <c r="L717">
        <v>372258.72</v>
      </c>
      <c r="M717" t="str">
        <f>TEXT(Table1[[#This Row],[OrderDate]], "mmm")</f>
        <v>Jan</v>
      </c>
      <c r="N717" t="str">
        <f>IF(Table1[[#This Row],[TotalSales]]&gt;50000,"High",IF(L717&gt;20000,"Medium","Low"))</f>
        <v>High</v>
      </c>
      <c r="O717">
        <f>Table1[[#This Row],[TotalSales]]/Table1[[#This Row],[Quantity]]</f>
        <v>37225.871999999996</v>
      </c>
    </row>
    <row r="718" spans="1:15" x14ac:dyDescent="0.35">
      <c r="A718" t="s">
        <v>776</v>
      </c>
      <c r="B718" s="1">
        <v>45431</v>
      </c>
      <c r="C718" t="s">
        <v>40</v>
      </c>
      <c r="D718" t="s">
        <v>55</v>
      </c>
      <c r="E718" t="s">
        <v>28</v>
      </c>
      <c r="F718" t="s">
        <v>125</v>
      </c>
      <c r="G718" t="s">
        <v>17</v>
      </c>
      <c r="H718">
        <v>2</v>
      </c>
      <c r="I718">
        <v>28778.26</v>
      </c>
      <c r="J718" s="2">
        <v>0</v>
      </c>
      <c r="K718" t="s">
        <v>25</v>
      </c>
      <c r="L718">
        <v>57556.52</v>
      </c>
      <c r="M718" t="str">
        <f>TEXT(Table1[[#This Row],[OrderDate]], "mmm")</f>
        <v>May</v>
      </c>
      <c r="N718" t="str">
        <f>IF(Table1[[#This Row],[TotalSales]]&gt;50000,"High",IF(L718&gt;20000,"Medium","Low"))</f>
        <v>High</v>
      </c>
      <c r="O718">
        <f>Table1[[#This Row],[TotalSales]]/Table1[[#This Row],[Quantity]]</f>
        <v>28778.26</v>
      </c>
    </row>
    <row r="719" spans="1:15" x14ac:dyDescent="0.35">
      <c r="A719" t="s">
        <v>777</v>
      </c>
      <c r="B719" s="1">
        <v>45376</v>
      </c>
      <c r="C719" t="s">
        <v>40</v>
      </c>
      <c r="D719" t="s">
        <v>41</v>
      </c>
      <c r="E719" t="s">
        <v>34</v>
      </c>
      <c r="F719" t="s">
        <v>48</v>
      </c>
      <c r="G719" t="s">
        <v>83</v>
      </c>
      <c r="H719">
        <v>1</v>
      </c>
      <c r="I719">
        <v>44222.99</v>
      </c>
      <c r="J719" s="2">
        <v>0.15</v>
      </c>
      <c r="K719" t="s">
        <v>31</v>
      </c>
      <c r="L719">
        <v>37589.54</v>
      </c>
      <c r="M719" t="str">
        <f>TEXT(Table1[[#This Row],[OrderDate]], "mmm")</f>
        <v>Mar</v>
      </c>
      <c r="N719" t="str">
        <f>IF(Table1[[#This Row],[TotalSales]]&gt;50000,"High",IF(L719&gt;20000,"Medium","Low"))</f>
        <v>Medium</v>
      </c>
      <c r="O719">
        <f>Table1[[#This Row],[TotalSales]]/Table1[[#This Row],[Quantity]]</f>
        <v>37589.54</v>
      </c>
    </row>
    <row r="720" spans="1:15" x14ac:dyDescent="0.35">
      <c r="A720" t="s">
        <v>778</v>
      </c>
      <c r="B720" s="1">
        <v>45346</v>
      </c>
      <c r="C720" t="s">
        <v>20</v>
      </c>
      <c r="D720" t="s">
        <v>21</v>
      </c>
      <c r="E720" t="s">
        <v>22</v>
      </c>
      <c r="F720" t="s">
        <v>52</v>
      </c>
      <c r="G720" t="s">
        <v>43</v>
      </c>
      <c r="H720">
        <v>2</v>
      </c>
      <c r="I720">
        <v>11812.67</v>
      </c>
      <c r="J720" s="2">
        <v>0</v>
      </c>
      <c r="K720" t="s">
        <v>18</v>
      </c>
      <c r="L720">
        <v>23625.34</v>
      </c>
      <c r="M720" t="str">
        <f>TEXT(Table1[[#This Row],[OrderDate]], "mmm")</f>
        <v>Feb</v>
      </c>
      <c r="N720" t="str">
        <f>IF(Table1[[#This Row],[TotalSales]]&gt;50000,"High",IF(L720&gt;20000,"Medium","Low"))</f>
        <v>Medium</v>
      </c>
      <c r="O720">
        <f>Table1[[#This Row],[TotalSales]]/Table1[[#This Row],[Quantity]]</f>
        <v>11812.67</v>
      </c>
    </row>
    <row r="721" spans="1:15" x14ac:dyDescent="0.35">
      <c r="A721" t="s">
        <v>779</v>
      </c>
      <c r="B721" s="1">
        <v>45539</v>
      </c>
      <c r="C721" t="s">
        <v>46</v>
      </c>
      <c r="D721" t="s">
        <v>71</v>
      </c>
      <c r="E721" t="s">
        <v>28</v>
      </c>
      <c r="F721" t="s">
        <v>76</v>
      </c>
      <c r="G721" t="s">
        <v>66</v>
      </c>
      <c r="H721">
        <v>1</v>
      </c>
      <c r="I721">
        <v>2833.08</v>
      </c>
      <c r="J721" s="2">
        <v>0</v>
      </c>
      <c r="K721" t="s">
        <v>18</v>
      </c>
      <c r="L721">
        <v>2833.08</v>
      </c>
      <c r="M721" t="str">
        <f>TEXT(Table1[[#This Row],[OrderDate]], "mmm")</f>
        <v>Sep</v>
      </c>
      <c r="N721" t="str">
        <f>IF(Table1[[#This Row],[TotalSales]]&gt;50000,"High",IF(L721&gt;20000,"Medium","Low"))</f>
        <v>Low</v>
      </c>
      <c r="O721">
        <f>Table1[[#This Row],[TotalSales]]/Table1[[#This Row],[Quantity]]</f>
        <v>2833.08</v>
      </c>
    </row>
    <row r="722" spans="1:15" x14ac:dyDescent="0.35">
      <c r="A722" t="s">
        <v>780</v>
      </c>
      <c r="B722" s="1">
        <v>45651</v>
      </c>
      <c r="C722" t="s">
        <v>13</v>
      </c>
      <c r="D722" t="s">
        <v>14</v>
      </c>
      <c r="E722" t="s">
        <v>28</v>
      </c>
      <c r="F722" t="s">
        <v>104</v>
      </c>
      <c r="G722" t="s">
        <v>43</v>
      </c>
      <c r="H722">
        <v>11</v>
      </c>
      <c r="I722">
        <v>5536.42</v>
      </c>
      <c r="J722" s="2">
        <v>0.05</v>
      </c>
      <c r="K722" t="s">
        <v>25</v>
      </c>
      <c r="L722">
        <v>57855.59</v>
      </c>
      <c r="M722" t="str">
        <f>TEXT(Table1[[#This Row],[OrderDate]], "mmm")</f>
        <v>Dec</v>
      </c>
      <c r="N722" t="str">
        <f>IF(Table1[[#This Row],[TotalSales]]&gt;50000,"High",IF(L722&gt;20000,"Medium","Low"))</f>
        <v>High</v>
      </c>
      <c r="O722">
        <f>Table1[[#This Row],[TotalSales]]/Table1[[#This Row],[Quantity]]</f>
        <v>5259.5990909090906</v>
      </c>
    </row>
    <row r="723" spans="1:15" x14ac:dyDescent="0.35">
      <c r="A723" t="s">
        <v>781</v>
      </c>
      <c r="B723" s="1">
        <v>45369</v>
      </c>
      <c r="C723" t="s">
        <v>13</v>
      </c>
      <c r="D723" t="s">
        <v>14</v>
      </c>
      <c r="E723" t="s">
        <v>34</v>
      </c>
      <c r="F723" t="s">
        <v>35</v>
      </c>
      <c r="G723" t="s">
        <v>24</v>
      </c>
      <c r="H723">
        <v>11</v>
      </c>
      <c r="I723">
        <v>25578.22</v>
      </c>
      <c r="J723" s="2">
        <v>0.15</v>
      </c>
      <c r="K723" t="s">
        <v>18</v>
      </c>
      <c r="L723">
        <v>239156.36</v>
      </c>
      <c r="M723" t="str">
        <f>TEXT(Table1[[#This Row],[OrderDate]], "mmm")</f>
        <v>Mar</v>
      </c>
      <c r="N723" t="str">
        <f>IF(Table1[[#This Row],[TotalSales]]&gt;50000,"High",IF(L723&gt;20000,"Medium","Low"))</f>
        <v>High</v>
      </c>
      <c r="O723">
        <f>Table1[[#This Row],[TotalSales]]/Table1[[#This Row],[Quantity]]</f>
        <v>21741.48727272727</v>
      </c>
    </row>
    <row r="724" spans="1:15" x14ac:dyDescent="0.35">
      <c r="A724" t="s">
        <v>782</v>
      </c>
      <c r="B724" s="1">
        <v>45440</v>
      </c>
      <c r="C724" t="s">
        <v>20</v>
      </c>
      <c r="D724" t="s">
        <v>97</v>
      </c>
      <c r="E724" t="s">
        <v>28</v>
      </c>
      <c r="F724" t="s">
        <v>104</v>
      </c>
      <c r="G724" t="s">
        <v>17</v>
      </c>
      <c r="H724">
        <v>6</v>
      </c>
      <c r="I724">
        <v>34366.199999999997</v>
      </c>
      <c r="J724" s="2">
        <v>0.05</v>
      </c>
      <c r="K724" t="s">
        <v>18</v>
      </c>
      <c r="L724">
        <v>195887.34</v>
      </c>
      <c r="M724" t="str">
        <f>TEXT(Table1[[#This Row],[OrderDate]], "mmm")</f>
        <v>May</v>
      </c>
      <c r="N724" t="str">
        <f>IF(Table1[[#This Row],[TotalSales]]&gt;50000,"High",IF(L724&gt;20000,"Medium","Low"))</f>
        <v>High</v>
      </c>
      <c r="O724">
        <f>Table1[[#This Row],[TotalSales]]/Table1[[#This Row],[Quantity]]</f>
        <v>32647.89</v>
      </c>
    </row>
    <row r="725" spans="1:15" x14ac:dyDescent="0.35">
      <c r="A725" t="s">
        <v>783</v>
      </c>
      <c r="B725" s="1">
        <v>45450</v>
      </c>
      <c r="C725" t="s">
        <v>46</v>
      </c>
      <c r="D725" t="s">
        <v>47</v>
      </c>
      <c r="E725" t="s">
        <v>34</v>
      </c>
      <c r="F725" t="s">
        <v>35</v>
      </c>
      <c r="G725" t="s">
        <v>49</v>
      </c>
      <c r="H725">
        <v>9</v>
      </c>
      <c r="I725">
        <v>47740.85</v>
      </c>
      <c r="J725" s="2">
        <v>0.2</v>
      </c>
      <c r="K725" t="s">
        <v>18</v>
      </c>
      <c r="L725">
        <v>343734.12</v>
      </c>
      <c r="M725" t="str">
        <f>TEXT(Table1[[#This Row],[OrderDate]], "mmm")</f>
        <v>Jun</v>
      </c>
      <c r="N725" t="str">
        <f>IF(Table1[[#This Row],[TotalSales]]&gt;50000,"High",IF(L725&gt;20000,"Medium","Low"))</f>
        <v>High</v>
      </c>
      <c r="O725">
        <f>Table1[[#This Row],[TotalSales]]/Table1[[#This Row],[Quantity]]</f>
        <v>38192.68</v>
      </c>
    </row>
    <row r="726" spans="1:15" x14ac:dyDescent="0.35">
      <c r="A726" t="s">
        <v>784</v>
      </c>
      <c r="B726" s="1">
        <v>45337</v>
      </c>
      <c r="C726" t="s">
        <v>13</v>
      </c>
      <c r="D726" t="s">
        <v>37</v>
      </c>
      <c r="E726" t="s">
        <v>15</v>
      </c>
      <c r="F726" t="s">
        <v>56</v>
      </c>
      <c r="G726" t="s">
        <v>30</v>
      </c>
      <c r="H726">
        <v>2</v>
      </c>
      <c r="I726">
        <v>10019.41</v>
      </c>
      <c r="J726" s="2">
        <v>0.2</v>
      </c>
      <c r="K726" t="s">
        <v>18</v>
      </c>
      <c r="L726">
        <v>16031.06</v>
      </c>
      <c r="M726" t="str">
        <f>TEXT(Table1[[#This Row],[OrderDate]], "mmm")</f>
        <v>Feb</v>
      </c>
      <c r="N726" t="str">
        <f>IF(Table1[[#This Row],[TotalSales]]&gt;50000,"High",IF(L726&gt;20000,"Medium","Low"))</f>
        <v>Low</v>
      </c>
      <c r="O726">
        <f>Table1[[#This Row],[TotalSales]]/Table1[[#This Row],[Quantity]]</f>
        <v>8015.53</v>
      </c>
    </row>
    <row r="727" spans="1:15" x14ac:dyDescent="0.35">
      <c r="A727" t="s">
        <v>785</v>
      </c>
      <c r="B727" s="1">
        <v>45438</v>
      </c>
      <c r="C727" t="s">
        <v>46</v>
      </c>
      <c r="D727" t="s">
        <v>79</v>
      </c>
      <c r="E727" t="s">
        <v>15</v>
      </c>
      <c r="F727" t="s">
        <v>38</v>
      </c>
      <c r="G727" t="s">
        <v>83</v>
      </c>
      <c r="H727">
        <v>7</v>
      </c>
      <c r="I727">
        <v>22615.02</v>
      </c>
      <c r="J727" s="2">
        <v>0.1</v>
      </c>
      <c r="K727" t="s">
        <v>44</v>
      </c>
      <c r="L727">
        <v>142474.63</v>
      </c>
      <c r="M727" t="str">
        <f>TEXT(Table1[[#This Row],[OrderDate]], "mmm")</f>
        <v>May</v>
      </c>
      <c r="N727" t="str">
        <f>IF(Table1[[#This Row],[TotalSales]]&gt;50000,"High",IF(L727&gt;20000,"Medium","Low"))</f>
        <v>High</v>
      </c>
      <c r="O727">
        <f>Table1[[#This Row],[TotalSales]]/Table1[[#This Row],[Quantity]]</f>
        <v>20353.518571428573</v>
      </c>
    </row>
    <row r="728" spans="1:15" x14ac:dyDescent="0.35">
      <c r="A728" t="s">
        <v>786</v>
      </c>
      <c r="B728" s="1">
        <v>45641</v>
      </c>
      <c r="C728" t="s">
        <v>40</v>
      </c>
      <c r="D728" t="s">
        <v>41</v>
      </c>
      <c r="E728" t="s">
        <v>15</v>
      </c>
      <c r="F728" t="s">
        <v>38</v>
      </c>
      <c r="G728" t="s">
        <v>24</v>
      </c>
      <c r="H728">
        <v>1</v>
      </c>
      <c r="I728">
        <v>34209.629999999997</v>
      </c>
      <c r="J728" s="2">
        <v>0.15</v>
      </c>
      <c r="K728" t="s">
        <v>31</v>
      </c>
      <c r="L728">
        <v>29078.19</v>
      </c>
      <c r="M728" t="str">
        <f>TEXT(Table1[[#This Row],[OrderDate]], "mmm")</f>
        <v>Dec</v>
      </c>
      <c r="N728" t="str">
        <f>IF(Table1[[#This Row],[TotalSales]]&gt;50000,"High",IF(L728&gt;20000,"Medium","Low"))</f>
        <v>Medium</v>
      </c>
      <c r="O728">
        <f>Table1[[#This Row],[TotalSales]]/Table1[[#This Row],[Quantity]]</f>
        <v>29078.19</v>
      </c>
    </row>
    <row r="729" spans="1:15" x14ac:dyDescent="0.35">
      <c r="A729" t="s">
        <v>787</v>
      </c>
      <c r="B729" s="1">
        <v>45496</v>
      </c>
      <c r="C729" t="s">
        <v>20</v>
      </c>
      <c r="D729" t="s">
        <v>21</v>
      </c>
      <c r="E729" t="s">
        <v>28</v>
      </c>
      <c r="F729" t="s">
        <v>104</v>
      </c>
      <c r="G729" t="s">
        <v>30</v>
      </c>
      <c r="H729">
        <v>14</v>
      </c>
      <c r="I729">
        <v>4199.2299999999996</v>
      </c>
      <c r="J729" s="2">
        <v>0.05</v>
      </c>
      <c r="K729" t="s">
        <v>31</v>
      </c>
      <c r="L729">
        <v>55849.760000000002</v>
      </c>
      <c r="M729" t="str">
        <f>TEXT(Table1[[#This Row],[OrderDate]], "mmm")</f>
        <v>Jul</v>
      </c>
      <c r="N729" t="str">
        <f>IF(Table1[[#This Row],[TotalSales]]&gt;50000,"High",IF(L729&gt;20000,"Medium","Low"))</f>
        <v>High</v>
      </c>
      <c r="O729">
        <f>Table1[[#This Row],[TotalSales]]/Table1[[#This Row],[Quantity]]</f>
        <v>3989.2685714285717</v>
      </c>
    </row>
    <row r="730" spans="1:15" x14ac:dyDescent="0.35">
      <c r="A730" t="s">
        <v>788</v>
      </c>
      <c r="B730" s="1">
        <v>45513</v>
      </c>
      <c r="C730" t="s">
        <v>46</v>
      </c>
      <c r="D730" t="s">
        <v>79</v>
      </c>
      <c r="E730" t="s">
        <v>15</v>
      </c>
      <c r="F730" t="s">
        <v>59</v>
      </c>
      <c r="G730" t="s">
        <v>30</v>
      </c>
      <c r="H730">
        <v>4</v>
      </c>
      <c r="I730">
        <v>22203.32</v>
      </c>
      <c r="J730" s="2">
        <v>0</v>
      </c>
      <c r="K730" t="s">
        <v>31</v>
      </c>
      <c r="L730">
        <v>88813.28</v>
      </c>
      <c r="M730" t="str">
        <f>TEXT(Table1[[#This Row],[OrderDate]], "mmm")</f>
        <v>Aug</v>
      </c>
      <c r="N730" t="str">
        <f>IF(Table1[[#This Row],[TotalSales]]&gt;50000,"High",IF(L730&gt;20000,"Medium","Low"))</f>
        <v>High</v>
      </c>
      <c r="O730">
        <f>Table1[[#This Row],[TotalSales]]/Table1[[#This Row],[Quantity]]</f>
        <v>22203.32</v>
      </c>
    </row>
    <row r="731" spans="1:15" x14ac:dyDescent="0.35">
      <c r="A731" t="s">
        <v>789</v>
      </c>
      <c r="B731" s="1">
        <v>45371</v>
      </c>
      <c r="C731" t="s">
        <v>46</v>
      </c>
      <c r="D731" t="s">
        <v>71</v>
      </c>
      <c r="E731" t="s">
        <v>28</v>
      </c>
      <c r="F731" t="s">
        <v>104</v>
      </c>
      <c r="G731" t="s">
        <v>83</v>
      </c>
      <c r="H731">
        <v>8</v>
      </c>
      <c r="I731">
        <v>8174.16</v>
      </c>
      <c r="J731" s="2">
        <v>0</v>
      </c>
      <c r="K731" t="s">
        <v>25</v>
      </c>
      <c r="L731">
        <v>65393.279999999999</v>
      </c>
      <c r="M731" t="str">
        <f>TEXT(Table1[[#This Row],[OrderDate]], "mmm")</f>
        <v>Mar</v>
      </c>
      <c r="N731" t="str">
        <f>IF(Table1[[#This Row],[TotalSales]]&gt;50000,"High",IF(L731&gt;20000,"Medium","Low"))</f>
        <v>High</v>
      </c>
      <c r="O731">
        <f>Table1[[#This Row],[TotalSales]]/Table1[[#This Row],[Quantity]]</f>
        <v>8174.16</v>
      </c>
    </row>
    <row r="732" spans="1:15" x14ac:dyDescent="0.35">
      <c r="A732" t="s">
        <v>790</v>
      </c>
      <c r="B732" s="1">
        <v>45303</v>
      </c>
      <c r="C732" t="s">
        <v>46</v>
      </c>
      <c r="D732" t="s">
        <v>47</v>
      </c>
      <c r="E732" t="s">
        <v>34</v>
      </c>
      <c r="F732" t="s">
        <v>61</v>
      </c>
      <c r="G732" t="s">
        <v>17</v>
      </c>
      <c r="H732">
        <v>13</v>
      </c>
      <c r="I732">
        <v>37665.19</v>
      </c>
      <c r="J732" s="2">
        <v>0</v>
      </c>
      <c r="K732" t="s">
        <v>44</v>
      </c>
      <c r="L732">
        <v>489647.47</v>
      </c>
      <c r="M732" t="str">
        <f>TEXT(Table1[[#This Row],[OrderDate]], "mmm")</f>
        <v>Jan</v>
      </c>
      <c r="N732" t="str">
        <f>IF(Table1[[#This Row],[TotalSales]]&gt;50000,"High",IF(L732&gt;20000,"Medium","Low"))</f>
        <v>High</v>
      </c>
      <c r="O732">
        <f>Table1[[#This Row],[TotalSales]]/Table1[[#This Row],[Quantity]]</f>
        <v>37665.189999999995</v>
      </c>
    </row>
    <row r="733" spans="1:15" x14ac:dyDescent="0.35">
      <c r="A733" t="s">
        <v>791</v>
      </c>
      <c r="B733" s="1">
        <v>45424</v>
      </c>
      <c r="C733" t="s">
        <v>20</v>
      </c>
      <c r="D733" t="s">
        <v>21</v>
      </c>
      <c r="E733" t="s">
        <v>34</v>
      </c>
      <c r="F733" t="s">
        <v>88</v>
      </c>
      <c r="G733" t="s">
        <v>69</v>
      </c>
      <c r="H733">
        <v>3</v>
      </c>
      <c r="I733">
        <v>45714.09</v>
      </c>
      <c r="J733" s="2">
        <v>0</v>
      </c>
      <c r="K733" t="s">
        <v>44</v>
      </c>
      <c r="L733">
        <v>137142.26999999999</v>
      </c>
      <c r="M733" t="str">
        <f>TEXT(Table1[[#This Row],[OrderDate]], "mmm")</f>
        <v>May</v>
      </c>
      <c r="N733" t="str">
        <f>IF(Table1[[#This Row],[TotalSales]]&gt;50000,"High",IF(L733&gt;20000,"Medium","Low"))</f>
        <v>High</v>
      </c>
      <c r="O733">
        <f>Table1[[#This Row],[TotalSales]]/Table1[[#This Row],[Quantity]]</f>
        <v>45714.09</v>
      </c>
    </row>
    <row r="734" spans="1:15" x14ac:dyDescent="0.35">
      <c r="A734" t="s">
        <v>792</v>
      </c>
      <c r="B734" s="1">
        <v>45644</v>
      </c>
      <c r="C734" t="s">
        <v>40</v>
      </c>
      <c r="D734" t="s">
        <v>51</v>
      </c>
      <c r="E734" t="s">
        <v>34</v>
      </c>
      <c r="F734" t="s">
        <v>88</v>
      </c>
      <c r="G734" t="s">
        <v>69</v>
      </c>
      <c r="H734">
        <v>13</v>
      </c>
      <c r="I734">
        <v>9005.77</v>
      </c>
      <c r="J734" s="2">
        <v>0.15</v>
      </c>
      <c r="K734" t="s">
        <v>31</v>
      </c>
      <c r="L734">
        <v>99513.76</v>
      </c>
      <c r="M734" t="str">
        <f>TEXT(Table1[[#This Row],[OrderDate]], "mmm")</f>
        <v>Dec</v>
      </c>
      <c r="N734" t="str">
        <f>IF(Table1[[#This Row],[TotalSales]]&gt;50000,"High",IF(L734&gt;20000,"Medium","Low"))</f>
        <v>High</v>
      </c>
      <c r="O734">
        <f>Table1[[#This Row],[TotalSales]]/Table1[[#This Row],[Quantity]]</f>
        <v>7654.9046153846148</v>
      </c>
    </row>
    <row r="735" spans="1:15" x14ac:dyDescent="0.35">
      <c r="A735" t="s">
        <v>793</v>
      </c>
      <c r="B735" s="1">
        <v>45369</v>
      </c>
      <c r="C735" t="s">
        <v>13</v>
      </c>
      <c r="D735" t="s">
        <v>14</v>
      </c>
      <c r="E735" t="s">
        <v>22</v>
      </c>
      <c r="F735" t="s">
        <v>52</v>
      </c>
      <c r="G735" t="s">
        <v>49</v>
      </c>
      <c r="H735">
        <v>15</v>
      </c>
      <c r="I735">
        <v>25334.52</v>
      </c>
      <c r="J735" s="2">
        <v>0</v>
      </c>
      <c r="K735" t="s">
        <v>31</v>
      </c>
      <c r="L735">
        <v>380017.8</v>
      </c>
      <c r="M735" t="str">
        <f>TEXT(Table1[[#This Row],[OrderDate]], "mmm")</f>
        <v>Mar</v>
      </c>
      <c r="N735" t="str">
        <f>IF(Table1[[#This Row],[TotalSales]]&gt;50000,"High",IF(L735&gt;20000,"Medium","Low"))</f>
        <v>High</v>
      </c>
      <c r="O735">
        <f>Table1[[#This Row],[TotalSales]]/Table1[[#This Row],[Quantity]]</f>
        <v>25334.52</v>
      </c>
    </row>
    <row r="736" spans="1:15" x14ac:dyDescent="0.35">
      <c r="A736" t="s">
        <v>794</v>
      </c>
      <c r="B736" s="1">
        <v>45588</v>
      </c>
      <c r="C736" t="s">
        <v>40</v>
      </c>
      <c r="D736" t="s">
        <v>51</v>
      </c>
      <c r="E736" t="s">
        <v>34</v>
      </c>
      <c r="F736" t="s">
        <v>61</v>
      </c>
      <c r="G736" t="s">
        <v>66</v>
      </c>
      <c r="H736">
        <v>2</v>
      </c>
      <c r="I736">
        <v>2199.4299999999998</v>
      </c>
      <c r="J736" s="2">
        <v>0.15</v>
      </c>
      <c r="K736" t="s">
        <v>18</v>
      </c>
      <c r="L736">
        <v>3739.03</v>
      </c>
      <c r="M736" t="str">
        <f>TEXT(Table1[[#This Row],[OrderDate]], "mmm")</f>
        <v>Oct</v>
      </c>
      <c r="N736" t="str">
        <f>IF(Table1[[#This Row],[TotalSales]]&gt;50000,"High",IF(L736&gt;20000,"Medium","Low"))</f>
        <v>Low</v>
      </c>
      <c r="O736">
        <f>Table1[[#This Row],[TotalSales]]/Table1[[#This Row],[Quantity]]</f>
        <v>1869.5150000000001</v>
      </c>
    </row>
    <row r="737" spans="1:15" x14ac:dyDescent="0.35">
      <c r="A737" t="s">
        <v>795</v>
      </c>
      <c r="B737" s="1">
        <v>45587</v>
      </c>
      <c r="C737" t="s">
        <v>20</v>
      </c>
      <c r="D737" t="s">
        <v>21</v>
      </c>
      <c r="E737" t="s">
        <v>28</v>
      </c>
      <c r="F737" t="s">
        <v>125</v>
      </c>
      <c r="G737" t="s">
        <v>30</v>
      </c>
      <c r="H737">
        <v>1</v>
      </c>
      <c r="I737">
        <v>20490.05</v>
      </c>
      <c r="J737" s="2">
        <v>0</v>
      </c>
      <c r="K737" t="s">
        <v>25</v>
      </c>
      <c r="L737">
        <v>20490.05</v>
      </c>
      <c r="M737" t="str">
        <f>TEXT(Table1[[#This Row],[OrderDate]], "mmm")</f>
        <v>Oct</v>
      </c>
      <c r="N737" t="str">
        <f>IF(Table1[[#This Row],[TotalSales]]&gt;50000,"High",IF(L737&gt;20000,"Medium","Low"))</f>
        <v>Medium</v>
      </c>
      <c r="O737">
        <f>Table1[[#This Row],[TotalSales]]/Table1[[#This Row],[Quantity]]</f>
        <v>20490.05</v>
      </c>
    </row>
    <row r="738" spans="1:15" x14ac:dyDescent="0.35">
      <c r="A738" t="s">
        <v>796</v>
      </c>
      <c r="B738" s="1">
        <v>45569</v>
      </c>
      <c r="C738" t="s">
        <v>13</v>
      </c>
      <c r="D738" t="s">
        <v>37</v>
      </c>
      <c r="E738" t="s">
        <v>34</v>
      </c>
      <c r="F738" t="s">
        <v>88</v>
      </c>
      <c r="G738" t="s">
        <v>24</v>
      </c>
      <c r="H738">
        <v>7</v>
      </c>
      <c r="I738">
        <v>28869.71</v>
      </c>
      <c r="J738" s="2">
        <v>0.2</v>
      </c>
      <c r="K738" t="s">
        <v>25</v>
      </c>
      <c r="L738">
        <v>161670.38</v>
      </c>
      <c r="M738" t="str">
        <f>TEXT(Table1[[#This Row],[OrderDate]], "mmm")</f>
        <v>Oct</v>
      </c>
      <c r="N738" t="str">
        <f>IF(Table1[[#This Row],[TotalSales]]&gt;50000,"High",IF(L738&gt;20000,"Medium","Low"))</f>
        <v>High</v>
      </c>
      <c r="O738">
        <f>Table1[[#This Row],[TotalSales]]/Table1[[#This Row],[Quantity]]</f>
        <v>23095.768571428573</v>
      </c>
    </row>
    <row r="739" spans="1:15" x14ac:dyDescent="0.35">
      <c r="A739" t="s">
        <v>797</v>
      </c>
      <c r="B739" s="1">
        <v>45437</v>
      </c>
      <c r="C739" t="s">
        <v>40</v>
      </c>
      <c r="D739" t="s">
        <v>51</v>
      </c>
      <c r="E739" t="s">
        <v>34</v>
      </c>
      <c r="F739" t="s">
        <v>48</v>
      </c>
      <c r="G739" t="s">
        <v>43</v>
      </c>
      <c r="H739">
        <v>12</v>
      </c>
      <c r="I739">
        <v>34196.629999999997</v>
      </c>
      <c r="J739" s="2">
        <v>0.2</v>
      </c>
      <c r="K739" t="s">
        <v>25</v>
      </c>
      <c r="L739">
        <v>328287.65000000002</v>
      </c>
      <c r="M739" t="str">
        <f>TEXT(Table1[[#This Row],[OrderDate]], "mmm")</f>
        <v>May</v>
      </c>
      <c r="N739" t="str">
        <f>IF(Table1[[#This Row],[TotalSales]]&gt;50000,"High",IF(L739&gt;20000,"Medium","Low"))</f>
        <v>High</v>
      </c>
      <c r="O739">
        <f>Table1[[#This Row],[TotalSales]]/Table1[[#This Row],[Quantity]]</f>
        <v>27357.304166666669</v>
      </c>
    </row>
    <row r="740" spans="1:15" x14ac:dyDescent="0.35">
      <c r="A740" t="s">
        <v>798</v>
      </c>
      <c r="B740" s="1">
        <v>45519</v>
      </c>
      <c r="C740" t="s">
        <v>46</v>
      </c>
      <c r="D740" t="s">
        <v>71</v>
      </c>
      <c r="E740" t="s">
        <v>15</v>
      </c>
      <c r="F740" t="s">
        <v>38</v>
      </c>
      <c r="G740" t="s">
        <v>66</v>
      </c>
      <c r="H740">
        <v>9</v>
      </c>
      <c r="I740">
        <v>32051.599999999999</v>
      </c>
      <c r="J740" s="2">
        <v>0</v>
      </c>
      <c r="K740" t="s">
        <v>31</v>
      </c>
      <c r="L740">
        <v>288464.40000000002</v>
      </c>
      <c r="M740" t="str">
        <f>TEXT(Table1[[#This Row],[OrderDate]], "mmm")</f>
        <v>Aug</v>
      </c>
      <c r="N740" t="str">
        <f>IF(Table1[[#This Row],[TotalSales]]&gt;50000,"High",IF(L740&gt;20000,"Medium","Low"))</f>
        <v>High</v>
      </c>
      <c r="O740">
        <f>Table1[[#This Row],[TotalSales]]/Table1[[#This Row],[Quantity]]</f>
        <v>32051.600000000002</v>
      </c>
    </row>
    <row r="741" spans="1:15" x14ac:dyDescent="0.35">
      <c r="A741" t="s">
        <v>799</v>
      </c>
      <c r="B741" s="1">
        <v>45529</v>
      </c>
      <c r="C741" t="s">
        <v>46</v>
      </c>
      <c r="D741" t="s">
        <v>79</v>
      </c>
      <c r="E741" t="s">
        <v>22</v>
      </c>
      <c r="F741" t="s">
        <v>82</v>
      </c>
      <c r="G741" t="s">
        <v>69</v>
      </c>
      <c r="H741">
        <v>7</v>
      </c>
      <c r="I741">
        <v>49958.05</v>
      </c>
      <c r="J741" s="2">
        <v>0.15</v>
      </c>
      <c r="K741" t="s">
        <v>44</v>
      </c>
      <c r="L741">
        <v>297250.40000000002</v>
      </c>
      <c r="M741" t="str">
        <f>TEXT(Table1[[#This Row],[OrderDate]], "mmm")</f>
        <v>Aug</v>
      </c>
      <c r="N741" t="str">
        <f>IF(Table1[[#This Row],[TotalSales]]&gt;50000,"High",IF(L741&gt;20000,"Medium","Low"))</f>
        <v>High</v>
      </c>
      <c r="O741">
        <f>Table1[[#This Row],[TotalSales]]/Table1[[#This Row],[Quantity]]</f>
        <v>42464.342857142859</v>
      </c>
    </row>
    <row r="742" spans="1:15" x14ac:dyDescent="0.35">
      <c r="A742" t="s">
        <v>800</v>
      </c>
      <c r="B742" s="1">
        <v>45636</v>
      </c>
      <c r="C742" t="s">
        <v>13</v>
      </c>
      <c r="D742" t="s">
        <v>37</v>
      </c>
      <c r="E742" t="s">
        <v>28</v>
      </c>
      <c r="F742" t="s">
        <v>29</v>
      </c>
      <c r="G742" t="s">
        <v>83</v>
      </c>
      <c r="H742">
        <v>4</v>
      </c>
      <c r="I742">
        <v>427.83</v>
      </c>
      <c r="J742" s="2">
        <v>0.05</v>
      </c>
      <c r="K742" t="s">
        <v>44</v>
      </c>
      <c r="L742">
        <v>1625.75</v>
      </c>
      <c r="M742" t="str">
        <f>TEXT(Table1[[#This Row],[OrderDate]], "mmm")</f>
        <v>Dec</v>
      </c>
      <c r="N742" t="str">
        <f>IF(Table1[[#This Row],[TotalSales]]&gt;50000,"High",IF(L742&gt;20000,"Medium","Low"))</f>
        <v>Low</v>
      </c>
      <c r="O742">
        <f>Table1[[#This Row],[TotalSales]]/Table1[[#This Row],[Quantity]]</f>
        <v>406.4375</v>
      </c>
    </row>
    <row r="743" spans="1:15" x14ac:dyDescent="0.35">
      <c r="A743" t="s">
        <v>801</v>
      </c>
      <c r="B743" s="1">
        <v>45492</v>
      </c>
      <c r="C743" t="s">
        <v>20</v>
      </c>
      <c r="D743" t="s">
        <v>21</v>
      </c>
      <c r="E743" t="s">
        <v>22</v>
      </c>
      <c r="F743" t="s">
        <v>82</v>
      </c>
      <c r="G743" t="s">
        <v>66</v>
      </c>
      <c r="H743">
        <v>4</v>
      </c>
      <c r="I743">
        <v>33971.480000000003</v>
      </c>
      <c r="J743" s="2">
        <v>0.05</v>
      </c>
      <c r="K743" t="s">
        <v>18</v>
      </c>
      <c r="L743">
        <v>129091.62</v>
      </c>
      <c r="M743" t="str">
        <f>TEXT(Table1[[#This Row],[OrderDate]], "mmm")</f>
        <v>Jul</v>
      </c>
      <c r="N743" t="str">
        <f>IF(Table1[[#This Row],[TotalSales]]&gt;50000,"High",IF(L743&gt;20000,"Medium","Low"))</f>
        <v>High</v>
      </c>
      <c r="O743">
        <f>Table1[[#This Row],[TotalSales]]/Table1[[#This Row],[Quantity]]</f>
        <v>32272.904999999999</v>
      </c>
    </row>
    <row r="744" spans="1:15" x14ac:dyDescent="0.35">
      <c r="A744" t="s">
        <v>802</v>
      </c>
      <c r="B744" s="1">
        <v>45410</v>
      </c>
      <c r="C744" t="s">
        <v>20</v>
      </c>
      <c r="D744" t="s">
        <v>97</v>
      </c>
      <c r="E744" t="s">
        <v>34</v>
      </c>
      <c r="F744" t="s">
        <v>48</v>
      </c>
      <c r="G744" t="s">
        <v>49</v>
      </c>
      <c r="H744">
        <v>2</v>
      </c>
      <c r="I744">
        <v>39109.360000000001</v>
      </c>
      <c r="J744" s="2">
        <v>0</v>
      </c>
      <c r="K744" t="s">
        <v>18</v>
      </c>
      <c r="L744">
        <v>78218.720000000001</v>
      </c>
      <c r="M744" t="str">
        <f>TEXT(Table1[[#This Row],[OrderDate]], "mmm")</f>
        <v>Apr</v>
      </c>
      <c r="N744" t="str">
        <f>IF(Table1[[#This Row],[TotalSales]]&gt;50000,"High",IF(L744&gt;20000,"Medium","Low"))</f>
        <v>High</v>
      </c>
      <c r="O744">
        <f>Table1[[#This Row],[TotalSales]]/Table1[[#This Row],[Quantity]]</f>
        <v>39109.360000000001</v>
      </c>
    </row>
    <row r="745" spans="1:15" x14ac:dyDescent="0.35">
      <c r="A745" t="s">
        <v>803</v>
      </c>
      <c r="B745" s="1">
        <v>45305</v>
      </c>
      <c r="C745" t="s">
        <v>46</v>
      </c>
      <c r="D745" t="s">
        <v>47</v>
      </c>
      <c r="E745" t="s">
        <v>28</v>
      </c>
      <c r="F745" t="s">
        <v>125</v>
      </c>
      <c r="G745" t="s">
        <v>17</v>
      </c>
      <c r="H745">
        <v>7</v>
      </c>
      <c r="I745">
        <v>832.29</v>
      </c>
      <c r="J745" s="2">
        <v>0.2</v>
      </c>
      <c r="K745" t="s">
        <v>25</v>
      </c>
      <c r="L745">
        <v>4660.82</v>
      </c>
      <c r="M745" t="str">
        <f>TEXT(Table1[[#This Row],[OrderDate]], "mmm")</f>
        <v>Jan</v>
      </c>
      <c r="N745" t="str">
        <f>IF(Table1[[#This Row],[TotalSales]]&gt;50000,"High",IF(L745&gt;20000,"Medium","Low"))</f>
        <v>Low</v>
      </c>
      <c r="O745">
        <f>Table1[[#This Row],[TotalSales]]/Table1[[#This Row],[Quantity]]</f>
        <v>665.83142857142855</v>
      </c>
    </row>
    <row r="746" spans="1:15" x14ac:dyDescent="0.35">
      <c r="A746" t="s">
        <v>804</v>
      </c>
      <c r="B746" s="1">
        <v>45615</v>
      </c>
      <c r="C746" t="s">
        <v>40</v>
      </c>
      <c r="D746" t="s">
        <v>51</v>
      </c>
      <c r="E746" t="s">
        <v>15</v>
      </c>
      <c r="F746" t="s">
        <v>59</v>
      </c>
      <c r="G746" t="s">
        <v>66</v>
      </c>
      <c r="H746">
        <v>13</v>
      </c>
      <c r="I746">
        <v>19825.05</v>
      </c>
      <c r="J746" s="2">
        <v>0</v>
      </c>
      <c r="K746" t="s">
        <v>44</v>
      </c>
      <c r="L746">
        <v>257725.65</v>
      </c>
      <c r="M746" t="str">
        <f>TEXT(Table1[[#This Row],[OrderDate]], "mmm")</f>
        <v>Nov</v>
      </c>
      <c r="N746" t="str">
        <f>IF(Table1[[#This Row],[TotalSales]]&gt;50000,"High",IF(L746&gt;20000,"Medium","Low"))</f>
        <v>High</v>
      </c>
      <c r="O746">
        <f>Table1[[#This Row],[TotalSales]]/Table1[[#This Row],[Quantity]]</f>
        <v>19825.05</v>
      </c>
    </row>
    <row r="747" spans="1:15" x14ac:dyDescent="0.35">
      <c r="A747" t="s">
        <v>805</v>
      </c>
      <c r="B747" s="1">
        <v>45613</v>
      </c>
      <c r="C747" t="s">
        <v>46</v>
      </c>
      <c r="D747" t="s">
        <v>47</v>
      </c>
      <c r="E747" t="s">
        <v>15</v>
      </c>
      <c r="F747" t="s">
        <v>56</v>
      </c>
      <c r="G747" t="s">
        <v>24</v>
      </c>
      <c r="H747">
        <v>1</v>
      </c>
      <c r="I747">
        <v>35183.58</v>
      </c>
      <c r="J747" s="2">
        <v>0.1</v>
      </c>
      <c r="K747" t="s">
        <v>44</v>
      </c>
      <c r="L747">
        <v>31665.22</v>
      </c>
      <c r="M747" t="str">
        <f>TEXT(Table1[[#This Row],[OrderDate]], "mmm")</f>
        <v>Nov</v>
      </c>
      <c r="N747" t="str">
        <f>IF(Table1[[#This Row],[TotalSales]]&gt;50000,"High",IF(L747&gt;20000,"Medium","Low"))</f>
        <v>Medium</v>
      </c>
      <c r="O747">
        <f>Table1[[#This Row],[TotalSales]]/Table1[[#This Row],[Quantity]]</f>
        <v>31665.22</v>
      </c>
    </row>
    <row r="748" spans="1:15" x14ac:dyDescent="0.35">
      <c r="A748" t="s">
        <v>806</v>
      </c>
      <c r="B748" s="1">
        <v>45545</v>
      </c>
      <c r="C748" t="s">
        <v>46</v>
      </c>
      <c r="D748" t="s">
        <v>47</v>
      </c>
      <c r="E748" t="s">
        <v>28</v>
      </c>
      <c r="F748" t="s">
        <v>125</v>
      </c>
      <c r="G748" t="s">
        <v>30</v>
      </c>
      <c r="H748">
        <v>14</v>
      </c>
      <c r="I748">
        <v>20004.57</v>
      </c>
      <c r="J748" s="2">
        <v>0.2</v>
      </c>
      <c r="K748" t="s">
        <v>31</v>
      </c>
      <c r="L748">
        <v>224051.18</v>
      </c>
      <c r="M748" t="str">
        <f>TEXT(Table1[[#This Row],[OrderDate]], "mmm")</f>
        <v>Sep</v>
      </c>
      <c r="N748" t="str">
        <f>IF(Table1[[#This Row],[TotalSales]]&gt;50000,"High",IF(L748&gt;20000,"Medium","Low"))</f>
        <v>High</v>
      </c>
      <c r="O748">
        <f>Table1[[#This Row],[TotalSales]]/Table1[[#This Row],[Quantity]]</f>
        <v>16003.655714285715</v>
      </c>
    </row>
    <row r="749" spans="1:15" x14ac:dyDescent="0.35">
      <c r="A749" t="s">
        <v>807</v>
      </c>
      <c r="B749" s="1">
        <v>45616</v>
      </c>
      <c r="C749" t="s">
        <v>40</v>
      </c>
      <c r="D749" t="s">
        <v>41</v>
      </c>
      <c r="E749" t="s">
        <v>22</v>
      </c>
      <c r="F749" t="s">
        <v>82</v>
      </c>
      <c r="G749" t="s">
        <v>43</v>
      </c>
      <c r="H749">
        <v>15</v>
      </c>
      <c r="I749">
        <v>24908.14</v>
      </c>
      <c r="J749" s="2">
        <v>0</v>
      </c>
      <c r="K749" t="s">
        <v>31</v>
      </c>
      <c r="L749">
        <v>373622.1</v>
      </c>
      <c r="M749" t="str">
        <f>TEXT(Table1[[#This Row],[OrderDate]], "mmm")</f>
        <v>Nov</v>
      </c>
      <c r="N749" t="str">
        <f>IF(Table1[[#This Row],[TotalSales]]&gt;50000,"High",IF(L749&gt;20000,"Medium","Low"))</f>
        <v>High</v>
      </c>
      <c r="O749">
        <f>Table1[[#This Row],[TotalSales]]/Table1[[#This Row],[Quantity]]</f>
        <v>24908.14</v>
      </c>
    </row>
    <row r="750" spans="1:15" x14ac:dyDescent="0.35">
      <c r="A750" t="s">
        <v>808</v>
      </c>
      <c r="B750" s="1">
        <v>45599</v>
      </c>
      <c r="C750" t="s">
        <v>40</v>
      </c>
      <c r="D750" t="s">
        <v>51</v>
      </c>
      <c r="E750" t="s">
        <v>28</v>
      </c>
      <c r="F750" t="s">
        <v>29</v>
      </c>
      <c r="G750" t="s">
        <v>43</v>
      </c>
      <c r="H750">
        <v>9</v>
      </c>
      <c r="I750">
        <v>474.8</v>
      </c>
      <c r="J750" s="2">
        <v>0.1</v>
      </c>
      <c r="K750" t="s">
        <v>18</v>
      </c>
      <c r="L750">
        <f>(Table1[[#This Row],[Quantity]]*Table1[[#This Row],[UnitPrice]])-(Table1[[#This Row],[Quantity]]*Table1[[#This Row],[UnitPrice]])*Table1[[#This Row],[Discount%]]</f>
        <v>3845.8799999999997</v>
      </c>
      <c r="M750" t="str">
        <f>TEXT(Table1[[#This Row],[OrderDate]], "mmm")</f>
        <v>Nov</v>
      </c>
      <c r="N750" t="str">
        <f>IF(Table1[[#This Row],[TotalSales]]&gt;50000,"High",IF(L750&gt;20000,"Medium","Low"))</f>
        <v>Low</v>
      </c>
      <c r="O750">
        <f>Table1[[#This Row],[TotalSales]]/Table1[[#This Row],[Quantity]]</f>
        <v>427.31999999999994</v>
      </c>
    </row>
    <row r="751" spans="1:15" x14ac:dyDescent="0.35">
      <c r="A751" t="s">
        <v>809</v>
      </c>
      <c r="B751" s="1">
        <v>45307</v>
      </c>
      <c r="C751" t="s">
        <v>46</v>
      </c>
      <c r="D751" t="s">
        <v>47</v>
      </c>
      <c r="E751" t="s">
        <v>22</v>
      </c>
      <c r="F751" t="s">
        <v>52</v>
      </c>
      <c r="G751" t="s">
        <v>17</v>
      </c>
      <c r="H751">
        <v>6</v>
      </c>
      <c r="I751">
        <v>7793.36</v>
      </c>
      <c r="J751" s="2">
        <v>0</v>
      </c>
      <c r="K751" t="s">
        <v>44</v>
      </c>
      <c r="L751">
        <v>46760.160000000003</v>
      </c>
      <c r="M751" t="str">
        <f>TEXT(Table1[[#This Row],[OrderDate]], "mmm")</f>
        <v>Jan</v>
      </c>
      <c r="N751" t="str">
        <f>IF(Table1[[#This Row],[TotalSales]]&gt;50000,"High",IF(L751&gt;20000,"Medium","Low"))</f>
        <v>Medium</v>
      </c>
      <c r="O751">
        <f>Table1[[#This Row],[TotalSales]]/Table1[[#This Row],[Quantity]]</f>
        <v>7793.3600000000006</v>
      </c>
    </row>
    <row r="752" spans="1:15" x14ac:dyDescent="0.35">
      <c r="A752" t="s">
        <v>810</v>
      </c>
      <c r="B752" s="1">
        <v>45554</v>
      </c>
      <c r="C752" t="s">
        <v>40</v>
      </c>
      <c r="D752" t="s">
        <v>41</v>
      </c>
      <c r="E752" t="s">
        <v>28</v>
      </c>
      <c r="F752" t="s">
        <v>104</v>
      </c>
      <c r="G752" t="s">
        <v>66</v>
      </c>
      <c r="H752">
        <v>7</v>
      </c>
      <c r="I752">
        <v>50744.68</v>
      </c>
      <c r="J752" s="2">
        <v>0</v>
      </c>
      <c r="K752" t="s">
        <v>31</v>
      </c>
      <c r="L752">
        <v>355212.76</v>
      </c>
      <c r="M752" t="str">
        <f>TEXT(Table1[[#This Row],[OrderDate]], "mmm")</f>
        <v>Sep</v>
      </c>
      <c r="N752" t="str">
        <f>IF(Table1[[#This Row],[TotalSales]]&gt;50000,"High",IF(L752&gt;20000,"Medium","Low"))</f>
        <v>High</v>
      </c>
      <c r="O752">
        <f>Table1[[#This Row],[TotalSales]]/Table1[[#This Row],[Quantity]]</f>
        <v>50744.68</v>
      </c>
    </row>
    <row r="753" spans="1:15" x14ac:dyDescent="0.35">
      <c r="A753" t="s">
        <v>811</v>
      </c>
      <c r="B753" s="1">
        <v>45541</v>
      </c>
      <c r="C753" t="s">
        <v>20</v>
      </c>
      <c r="D753" t="s">
        <v>21</v>
      </c>
      <c r="E753" t="s">
        <v>28</v>
      </c>
      <c r="F753" t="s">
        <v>125</v>
      </c>
      <c r="G753" t="s">
        <v>66</v>
      </c>
      <c r="H753">
        <v>7</v>
      </c>
      <c r="I753">
        <v>48580.58</v>
      </c>
      <c r="J753" s="2">
        <v>0.05</v>
      </c>
      <c r="K753" t="s">
        <v>25</v>
      </c>
      <c r="L753">
        <v>323060.86</v>
      </c>
      <c r="M753" t="str">
        <f>TEXT(Table1[[#This Row],[OrderDate]], "mmm")</f>
        <v>Sep</v>
      </c>
      <c r="N753" t="str">
        <f>IF(Table1[[#This Row],[TotalSales]]&gt;50000,"High",IF(L753&gt;20000,"Medium","Low"))</f>
        <v>High</v>
      </c>
      <c r="O753">
        <f>Table1[[#This Row],[TotalSales]]/Table1[[#This Row],[Quantity]]</f>
        <v>46151.551428571423</v>
      </c>
    </row>
    <row r="754" spans="1:15" x14ac:dyDescent="0.35">
      <c r="A754" t="s">
        <v>812</v>
      </c>
      <c r="B754" s="1">
        <v>45324</v>
      </c>
      <c r="C754" t="s">
        <v>13</v>
      </c>
      <c r="D754" t="s">
        <v>33</v>
      </c>
      <c r="E754" t="s">
        <v>22</v>
      </c>
      <c r="F754" t="s">
        <v>52</v>
      </c>
      <c r="G754" t="s">
        <v>83</v>
      </c>
      <c r="H754">
        <v>8</v>
      </c>
      <c r="I754">
        <v>9365.25</v>
      </c>
      <c r="J754" s="2">
        <v>0</v>
      </c>
      <c r="K754" t="s">
        <v>25</v>
      </c>
      <c r="L754">
        <v>74922</v>
      </c>
      <c r="M754" t="str">
        <f>TEXT(Table1[[#This Row],[OrderDate]], "mmm")</f>
        <v>Feb</v>
      </c>
      <c r="N754" t="str">
        <f>IF(Table1[[#This Row],[TotalSales]]&gt;50000,"High",IF(L754&gt;20000,"Medium","Low"))</f>
        <v>High</v>
      </c>
      <c r="O754">
        <f>Table1[[#This Row],[TotalSales]]/Table1[[#This Row],[Quantity]]</f>
        <v>9365.25</v>
      </c>
    </row>
    <row r="755" spans="1:15" x14ac:dyDescent="0.35">
      <c r="A755" t="s">
        <v>813</v>
      </c>
      <c r="B755" s="1">
        <v>45511</v>
      </c>
      <c r="C755" t="s">
        <v>20</v>
      </c>
      <c r="D755" t="s">
        <v>97</v>
      </c>
      <c r="E755" t="s">
        <v>15</v>
      </c>
      <c r="F755" t="s">
        <v>16</v>
      </c>
      <c r="G755" t="s">
        <v>17</v>
      </c>
      <c r="H755">
        <v>13</v>
      </c>
      <c r="I755">
        <v>10388.14</v>
      </c>
      <c r="J755" s="2">
        <v>0</v>
      </c>
      <c r="K755" t="s">
        <v>31</v>
      </c>
      <c r="L755">
        <v>135045.82</v>
      </c>
      <c r="M755" t="str">
        <f>TEXT(Table1[[#This Row],[OrderDate]], "mmm")</f>
        <v>Aug</v>
      </c>
      <c r="N755" t="str">
        <f>IF(Table1[[#This Row],[TotalSales]]&gt;50000,"High",IF(L755&gt;20000,"Medium","Low"))</f>
        <v>High</v>
      </c>
      <c r="O755">
        <f>Table1[[#This Row],[TotalSales]]/Table1[[#This Row],[Quantity]]</f>
        <v>10388.140000000001</v>
      </c>
    </row>
    <row r="756" spans="1:15" x14ac:dyDescent="0.35">
      <c r="A756" t="s">
        <v>814</v>
      </c>
      <c r="B756" s="1">
        <v>45530</v>
      </c>
      <c r="C756" t="s">
        <v>13</v>
      </c>
      <c r="D756" t="s">
        <v>14</v>
      </c>
      <c r="E756" t="s">
        <v>28</v>
      </c>
      <c r="F756" t="s">
        <v>76</v>
      </c>
      <c r="G756" t="s">
        <v>17</v>
      </c>
      <c r="H756">
        <v>10</v>
      </c>
      <c r="I756">
        <v>43779.12</v>
      </c>
      <c r="J756" s="2">
        <v>0</v>
      </c>
      <c r="K756" t="s">
        <v>44</v>
      </c>
      <c r="L756">
        <v>437791.2</v>
      </c>
      <c r="M756" t="str">
        <f>TEXT(Table1[[#This Row],[OrderDate]], "mmm")</f>
        <v>Aug</v>
      </c>
      <c r="N756" t="str">
        <f>IF(Table1[[#This Row],[TotalSales]]&gt;50000,"High",IF(L756&gt;20000,"Medium","Low"))</f>
        <v>High</v>
      </c>
      <c r="O756">
        <f>Table1[[#This Row],[TotalSales]]/Table1[[#This Row],[Quantity]]</f>
        <v>43779.12</v>
      </c>
    </row>
    <row r="757" spans="1:15" x14ac:dyDescent="0.35">
      <c r="A757" t="s">
        <v>815</v>
      </c>
      <c r="B757" s="1">
        <v>45455</v>
      </c>
      <c r="C757" t="s">
        <v>40</v>
      </c>
      <c r="D757" t="s">
        <v>41</v>
      </c>
      <c r="E757" t="s">
        <v>15</v>
      </c>
      <c r="F757" t="s">
        <v>38</v>
      </c>
      <c r="G757" t="s">
        <v>30</v>
      </c>
      <c r="H757">
        <v>4</v>
      </c>
      <c r="I757">
        <v>11002.35</v>
      </c>
      <c r="J757" s="2">
        <v>0.2</v>
      </c>
      <c r="K757" t="s">
        <v>18</v>
      </c>
      <c r="L757">
        <v>35207.519999999997</v>
      </c>
      <c r="M757" t="str">
        <f>TEXT(Table1[[#This Row],[OrderDate]], "mmm")</f>
        <v>Jun</v>
      </c>
      <c r="N757" t="str">
        <f>IF(Table1[[#This Row],[TotalSales]]&gt;50000,"High",IF(L757&gt;20000,"Medium","Low"))</f>
        <v>Medium</v>
      </c>
      <c r="O757">
        <f>Table1[[#This Row],[TotalSales]]/Table1[[#This Row],[Quantity]]</f>
        <v>8801.8799999999992</v>
      </c>
    </row>
    <row r="758" spans="1:15" x14ac:dyDescent="0.35">
      <c r="A758" t="s">
        <v>816</v>
      </c>
      <c r="B758" s="1">
        <v>45302</v>
      </c>
      <c r="C758" t="s">
        <v>20</v>
      </c>
      <c r="D758" t="s">
        <v>21</v>
      </c>
      <c r="E758" t="s">
        <v>28</v>
      </c>
      <c r="F758" t="s">
        <v>104</v>
      </c>
      <c r="G758" t="s">
        <v>66</v>
      </c>
      <c r="H758">
        <v>5</v>
      </c>
      <c r="I758">
        <v>1177.43</v>
      </c>
      <c r="J758" s="2">
        <v>0.2</v>
      </c>
      <c r="K758" t="s">
        <v>31</v>
      </c>
      <c r="L758">
        <v>4709.72</v>
      </c>
      <c r="M758" t="str">
        <f>TEXT(Table1[[#This Row],[OrderDate]], "mmm")</f>
        <v>Jan</v>
      </c>
      <c r="N758" t="str">
        <f>IF(Table1[[#This Row],[TotalSales]]&gt;50000,"High",IF(L758&gt;20000,"Medium","Low"))</f>
        <v>Low</v>
      </c>
      <c r="O758">
        <f>Table1[[#This Row],[TotalSales]]/Table1[[#This Row],[Quantity]]</f>
        <v>941.94400000000007</v>
      </c>
    </row>
    <row r="759" spans="1:15" x14ac:dyDescent="0.35">
      <c r="A759" t="s">
        <v>817</v>
      </c>
      <c r="B759" s="1">
        <v>45532</v>
      </c>
      <c r="C759" t="s">
        <v>46</v>
      </c>
      <c r="D759" t="s">
        <v>47</v>
      </c>
      <c r="E759" t="s">
        <v>15</v>
      </c>
      <c r="F759" t="s">
        <v>56</v>
      </c>
      <c r="G759" t="s">
        <v>83</v>
      </c>
      <c r="H759">
        <v>2</v>
      </c>
      <c r="I759">
        <v>45675.79</v>
      </c>
      <c r="J759" s="2">
        <v>0.05</v>
      </c>
      <c r="K759" t="s">
        <v>25</v>
      </c>
      <c r="L759">
        <v>86784</v>
      </c>
      <c r="M759" t="str">
        <f>TEXT(Table1[[#This Row],[OrderDate]], "mmm")</f>
        <v>Aug</v>
      </c>
      <c r="N759" t="str">
        <f>IF(Table1[[#This Row],[TotalSales]]&gt;50000,"High",IF(L759&gt;20000,"Medium","Low"))</f>
        <v>High</v>
      </c>
      <c r="O759">
        <f>Table1[[#This Row],[TotalSales]]/Table1[[#This Row],[Quantity]]</f>
        <v>43392</v>
      </c>
    </row>
    <row r="760" spans="1:15" x14ac:dyDescent="0.35">
      <c r="A760" t="s">
        <v>818</v>
      </c>
      <c r="B760" s="1">
        <v>45524</v>
      </c>
      <c r="C760" t="s">
        <v>13</v>
      </c>
      <c r="D760" t="s">
        <v>33</v>
      </c>
      <c r="E760" t="s">
        <v>15</v>
      </c>
      <c r="F760" t="s">
        <v>38</v>
      </c>
      <c r="G760" t="s">
        <v>43</v>
      </c>
      <c r="H760">
        <v>8</v>
      </c>
      <c r="I760">
        <v>46707.24</v>
      </c>
      <c r="J760" s="2">
        <v>0</v>
      </c>
      <c r="K760" t="s">
        <v>18</v>
      </c>
      <c r="L760">
        <v>373657.92</v>
      </c>
      <c r="M760" t="str">
        <f>TEXT(Table1[[#This Row],[OrderDate]], "mmm")</f>
        <v>Aug</v>
      </c>
      <c r="N760" t="str">
        <f>IF(Table1[[#This Row],[TotalSales]]&gt;50000,"High",IF(L760&gt;20000,"Medium","Low"))</f>
        <v>High</v>
      </c>
      <c r="O760">
        <f>Table1[[#This Row],[TotalSales]]/Table1[[#This Row],[Quantity]]</f>
        <v>46707.24</v>
      </c>
    </row>
    <row r="761" spans="1:15" x14ac:dyDescent="0.35">
      <c r="A761" t="s">
        <v>819</v>
      </c>
      <c r="B761" s="1">
        <v>45379</v>
      </c>
      <c r="C761" t="s">
        <v>40</v>
      </c>
      <c r="D761" t="s">
        <v>55</v>
      </c>
      <c r="E761" t="s">
        <v>15</v>
      </c>
      <c r="F761" t="s">
        <v>56</v>
      </c>
      <c r="G761" t="s">
        <v>43</v>
      </c>
      <c r="H761">
        <v>2</v>
      </c>
      <c r="I761">
        <v>10675.55</v>
      </c>
      <c r="J761" s="2">
        <v>0.2</v>
      </c>
      <c r="K761" t="s">
        <v>44</v>
      </c>
      <c r="L761">
        <v>17080.88</v>
      </c>
      <c r="M761" t="str">
        <f>TEXT(Table1[[#This Row],[OrderDate]], "mmm")</f>
        <v>Mar</v>
      </c>
      <c r="N761" t="str">
        <f>IF(Table1[[#This Row],[TotalSales]]&gt;50000,"High",IF(L761&gt;20000,"Medium","Low"))</f>
        <v>Low</v>
      </c>
      <c r="O761">
        <f>Table1[[#This Row],[TotalSales]]/Table1[[#This Row],[Quantity]]</f>
        <v>8540.44</v>
      </c>
    </row>
    <row r="762" spans="1:15" x14ac:dyDescent="0.35">
      <c r="A762" t="s">
        <v>820</v>
      </c>
      <c r="B762" s="1">
        <v>45330</v>
      </c>
      <c r="C762" t="s">
        <v>46</v>
      </c>
      <c r="D762" t="s">
        <v>79</v>
      </c>
      <c r="E762" t="s">
        <v>15</v>
      </c>
      <c r="F762" t="s">
        <v>16</v>
      </c>
      <c r="G762" t="s">
        <v>30</v>
      </c>
      <c r="H762">
        <v>5</v>
      </c>
      <c r="I762">
        <v>18247.23</v>
      </c>
      <c r="J762" s="2">
        <v>0.1</v>
      </c>
      <c r="K762" t="s">
        <v>31</v>
      </c>
      <c r="L762">
        <v>82112.539999999994</v>
      </c>
      <c r="M762" t="str">
        <f>TEXT(Table1[[#This Row],[OrderDate]], "mmm")</f>
        <v>Feb</v>
      </c>
      <c r="N762" t="str">
        <f>IF(Table1[[#This Row],[TotalSales]]&gt;50000,"High",IF(L762&gt;20000,"Medium","Low"))</f>
        <v>High</v>
      </c>
      <c r="O762">
        <f>Table1[[#This Row],[TotalSales]]/Table1[[#This Row],[Quantity]]</f>
        <v>16422.507999999998</v>
      </c>
    </row>
    <row r="763" spans="1:15" x14ac:dyDescent="0.35">
      <c r="A763" t="s">
        <v>821</v>
      </c>
      <c r="B763" s="1">
        <v>45503</v>
      </c>
      <c r="C763" t="s">
        <v>20</v>
      </c>
      <c r="D763" t="s">
        <v>21</v>
      </c>
      <c r="E763" t="s">
        <v>22</v>
      </c>
      <c r="F763" t="s">
        <v>52</v>
      </c>
      <c r="G763" t="s">
        <v>49</v>
      </c>
      <c r="H763">
        <v>11</v>
      </c>
      <c r="I763">
        <v>24683.53</v>
      </c>
      <c r="J763" s="2">
        <v>0</v>
      </c>
      <c r="K763" t="s">
        <v>44</v>
      </c>
      <c r="L763">
        <v>271518.83</v>
      </c>
      <c r="M763" t="str">
        <f>TEXT(Table1[[#This Row],[OrderDate]], "mmm")</f>
        <v>Jul</v>
      </c>
      <c r="N763" t="str">
        <f>IF(Table1[[#This Row],[TotalSales]]&gt;50000,"High",IF(L763&gt;20000,"Medium","Low"))</f>
        <v>High</v>
      </c>
      <c r="O763">
        <f>Table1[[#This Row],[TotalSales]]/Table1[[#This Row],[Quantity]]</f>
        <v>24683.530000000002</v>
      </c>
    </row>
    <row r="764" spans="1:15" x14ac:dyDescent="0.35">
      <c r="A764" t="s">
        <v>822</v>
      </c>
      <c r="B764" s="1">
        <v>45443</v>
      </c>
      <c r="C764" t="s">
        <v>46</v>
      </c>
      <c r="D764" t="s">
        <v>79</v>
      </c>
      <c r="E764" t="s">
        <v>34</v>
      </c>
      <c r="F764" t="s">
        <v>61</v>
      </c>
      <c r="G764" t="s">
        <v>17</v>
      </c>
      <c r="H764">
        <v>12</v>
      </c>
      <c r="I764">
        <v>4737.13</v>
      </c>
      <c r="J764" s="2">
        <v>0.1</v>
      </c>
      <c r="K764" t="s">
        <v>31</v>
      </c>
      <c r="L764">
        <v>51161</v>
      </c>
      <c r="M764" t="str">
        <f>TEXT(Table1[[#This Row],[OrderDate]], "mmm")</f>
        <v>May</v>
      </c>
      <c r="N764" t="str">
        <f>IF(Table1[[#This Row],[TotalSales]]&gt;50000,"High",IF(L764&gt;20000,"Medium","Low"))</f>
        <v>High</v>
      </c>
      <c r="O764">
        <f>Table1[[#This Row],[TotalSales]]/Table1[[#This Row],[Quantity]]</f>
        <v>4263.416666666667</v>
      </c>
    </row>
    <row r="765" spans="1:15" x14ac:dyDescent="0.35">
      <c r="A765" t="s">
        <v>823</v>
      </c>
      <c r="B765" s="1">
        <v>45635</v>
      </c>
      <c r="C765" t="s">
        <v>20</v>
      </c>
      <c r="D765" t="s">
        <v>27</v>
      </c>
      <c r="E765" t="s">
        <v>34</v>
      </c>
      <c r="F765" t="s">
        <v>35</v>
      </c>
      <c r="G765" t="s">
        <v>83</v>
      </c>
      <c r="H765">
        <v>4</v>
      </c>
      <c r="I765">
        <v>25854.639999999999</v>
      </c>
      <c r="J765" s="2">
        <v>0.05</v>
      </c>
      <c r="K765" t="s">
        <v>44</v>
      </c>
      <c r="L765">
        <v>98247.63</v>
      </c>
      <c r="M765" t="str">
        <f>TEXT(Table1[[#This Row],[OrderDate]], "mmm")</f>
        <v>Dec</v>
      </c>
      <c r="N765" t="str">
        <f>IF(Table1[[#This Row],[TotalSales]]&gt;50000,"High",IF(L765&gt;20000,"Medium","Low"))</f>
        <v>High</v>
      </c>
      <c r="O765">
        <f>Table1[[#This Row],[TotalSales]]/Table1[[#This Row],[Quantity]]</f>
        <v>24561.907500000001</v>
      </c>
    </row>
    <row r="766" spans="1:15" x14ac:dyDescent="0.35">
      <c r="A766" t="s">
        <v>824</v>
      </c>
      <c r="B766" s="1">
        <v>45404</v>
      </c>
      <c r="C766" t="s">
        <v>46</v>
      </c>
      <c r="D766" t="s">
        <v>47</v>
      </c>
      <c r="E766" t="s">
        <v>34</v>
      </c>
      <c r="F766" t="s">
        <v>61</v>
      </c>
      <c r="G766" t="s">
        <v>49</v>
      </c>
      <c r="H766">
        <v>15</v>
      </c>
      <c r="I766">
        <v>20127.68</v>
      </c>
      <c r="J766" s="2">
        <v>0.05</v>
      </c>
      <c r="K766" t="s">
        <v>25</v>
      </c>
      <c r="L766">
        <v>286819.44</v>
      </c>
      <c r="M766" t="str">
        <f>TEXT(Table1[[#This Row],[OrderDate]], "mmm")</f>
        <v>Apr</v>
      </c>
      <c r="N766" t="str">
        <f>IF(Table1[[#This Row],[TotalSales]]&gt;50000,"High",IF(L766&gt;20000,"Medium","Low"))</f>
        <v>High</v>
      </c>
      <c r="O766">
        <f>Table1[[#This Row],[TotalSales]]/Table1[[#This Row],[Quantity]]</f>
        <v>19121.295999999998</v>
      </c>
    </row>
    <row r="767" spans="1:15" x14ac:dyDescent="0.35">
      <c r="A767" t="s">
        <v>825</v>
      </c>
      <c r="B767" s="1">
        <v>45528</v>
      </c>
      <c r="C767" t="s">
        <v>46</v>
      </c>
      <c r="D767" t="s">
        <v>47</v>
      </c>
      <c r="E767" t="s">
        <v>22</v>
      </c>
      <c r="F767" t="s">
        <v>52</v>
      </c>
      <c r="G767" t="s">
        <v>30</v>
      </c>
      <c r="H767">
        <v>15</v>
      </c>
      <c r="I767">
        <v>6073.1</v>
      </c>
      <c r="J767" s="2">
        <v>0</v>
      </c>
      <c r="K767" t="s">
        <v>44</v>
      </c>
      <c r="L767">
        <f>(Table1[[#This Row],[Quantity]]*Table1[[#This Row],[UnitPrice]])-(Table1[[#This Row],[Quantity]]*Table1[[#This Row],[UnitPrice]])*Table1[[#This Row],[Discount%]]</f>
        <v>91096.5</v>
      </c>
      <c r="M767" t="str">
        <f>TEXT(Table1[[#This Row],[OrderDate]], "mmm")</f>
        <v>Aug</v>
      </c>
      <c r="N767" t="str">
        <f>IF(Table1[[#This Row],[TotalSales]]&gt;50000,"High",IF(L767&gt;20000,"Medium","Low"))</f>
        <v>High</v>
      </c>
      <c r="O767">
        <f>Table1[[#This Row],[TotalSales]]/Table1[[#This Row],[Quantity]]</f>
        <v>6073.1</v>
      </c>
    </row>
    <row r="768" spans="1:15" x14ac:dyDescent="0.35">
      <c r="A768" t="s">
        <v>826</v>
      </c>
      <c r="B768" s="1">
        <v>45512</v>
      </c>
      <c r="C768" t="s">
        <v>46</v>
      </c>
      <c r="D768" t="s">
        <v>79</v>
      </c>
      <c r="E768" t="s">
        <v>28</v>
      </c>
      <c r="F768" t="s">
        <v>76</v>
      </c>
      <c r="G768" t="s">
        <v>43</v>
      </c>
      <c r="H768">
        <v>4</v>
      </c>
      <c r="I768">
        <v>8453.98</v>
      </c>
      <c r="J768" s="2">
        <v>0.1</v>
      </c>
      <c r="K768" t="s">
        <v>25</v>
      </c>
      <c r="L768">
        <v>30434.33</v>
      </c>
      <c r="M768" t="str">
        <f>TEXT(Table1[[#This Row],[OrderDate]], "mmm")</f>
        <v>Aug</v>
      </c>
      <c r="N768" t="str">
        <f>IF(Table1[[#This Row],[TotalSales]]&gt;50000,"High",IF(L768&gt;20000,"Medium","Low"))</f>
        <v>Medium</v>
      </c>
      <c r="O768">
        <f>Table1[[#This Row],[TotalSales]]/Table1[[#This Row],[Quantity]]</f>
        <v>7608.5825000000004</v>
      </c>
    </row>
    <row r="769" spans="1:15" x14ac:dyDescent="0.35">
      <c r="A769" t="s">
        <v>827</v>
      </c>
      <c r="B769" s="1">
        <v>45498</v>
      </c>
      <c r="C769" t="s">
        <v>13</v>
      </c>
      <c r="D769" t="s">
        <v>14</v>
      </c>
      <c r="E769" t="s">
        <v>34</v>
      </c>
      <c r="F769" t="s">
        <v>61</v>
      </c>
      <c r="G769" t="s">
        <v>69</v>
      </c>
      <c r="H769">
        <v>3</v>
      </c>
      <c r="I769">
        <v>32753.89</v>
      </c>
      <c r="J769" s="2">
        <v>0.1</v>
      </c>
      <c r="K769" t="s">
        <v>31</v>
      </c>
      <c r="L769">
        <v>88435.5</v>
      </c>
      <c r="M769" t="str">
        <f>TEXT(Table1[[#This Row],[OrderDate]], "mmm")</f>
        <v>Jul</v>
      </c>
      <c r="N769" t="str">
        <f>IF(Table1[[#This Row],[TotalSales]]&gt;50000,"High",IF(L769&gt;20000,"Medium","Low"))</f>
        <v>High</v>
      </c>
      <c r="O769">
        <f>Table1[[#This Row],[TotalSales]]/Table1[[#This Row],[Quantity]]</f>
        <v>29478.5</v>
      </c>
    </row>
    <row r="770" spans="1:15" x14ac:dyDescent="0.35">
      <c r="A770" t="s">
        <v>828</v>
      </c>
      <c r="B770" s="1">
        <v>45586</v>
      </c>
      <c r="C770" t="s">
        <v>46</v>
      </c>
      <c r="D770" t="s">
        <v>47</v>
      </c>
      <c r="E770" t="s">
        <v>22</v>
      </c>
      <c r="F770" t="s">
        <v>23</v>
      </c>
      <c r="G770" t="s">
        <v>66</v>
      </c>
      <c r="H770">
        <v>5</v>
      </c>
      <c r="I770">
        <v>13284.44</v>
      </c>
      <c r="J770" s="2">
        <v>0.1</v>
      </c>
      <c r="K770" t="s">
        <v>25</v>
      </c>
      <c r="L770">
        <v>59779.98</v>
      </c>
      <c r="M770" t="str">
        <f>TEXT(Table1[[#This Row],[OrderDate]], "mmm")</f>
        <v>Oct</v>
      </c>
      <c r="N770" t="str">
        <f>IF(Table1[[#This Row],[TotalSales]]&gt;50000,"High",IF(L770&gt;20000,"Medium","Low"))</f>
        <v>High</v>
      </c>
      <c r="O770">
        <f>Table1[[#This Row],[TotalSales]]/Table1[[#This Row],[Quantity]]</f>
        <v>11955.996000000001</v>
      </c>
    </row>
    <row r="771" spans="1:15" x14ac:dyDescent="0.35">
      <c r="A771" t="s">
        <v>829</v>
      </c>
      <c r="B771" s="1">
        <v>45397</v>
      </c>
      <c r="C771" t="s">
        <v>13</v>
      </c>
      <c r="D771" t="s">
        <v>37</v>
      </c>
      <c r="E771" t="s">
        <v>15</v>
      </c>
      <c r="F771" t="s">
        <v>59</v>
      </c>
      <c r="G771" t="s">
        <v>24</v>
      </c>
      <c r="H771">
        <v>3</v>
      </c>
      <c r="I771">
        <v>43257.88</v>
      </c>
      <c r="J771" s="2">
        <v>0</v>
      </c>
      <c r="K771" t="s">
        <v>25</v>
      </c>
      <c r="L771">
        <f>(Table1[[#This Row],[Quantity]]*Table1[[#This Row],[UnitPrice]])-(Table1[[#This Row],[Quantity]]*Table1[[#This Row],[UnitPrice]])*Table1[[#This Row],[Discount%]]</f>
        <v>129773.63999999998</v>
      </c>
      <c r="M771" t="str">
        <f>TEXT(Table1[[#This Row],[OrderDate]], "mmm")</f>
        <v>Apr</v>
      </c>
      <c r="N771" t="str">
        <f>IF(Table1[[#This Row],[TotalSales]]&gt;50000,"High",IF(L771&gt;20000,"Medium","Low"))</f>
        <v>High</v>
      </c>
      <c r="O771">
        <f>Table1[[#This Row],[TotalSales]]/Table1[[#This Row],[Quantity]]</f>
        <v>43257.88</v>
      </c>
    </row>
    <row r="772" spans="1:15" x14ac:dyDescent="0.35">
      <c r="A772" t="s">
        <v>830</v>
      </c>
      <c r="B772" s="1">
        <v>45640</v>
      </c>
      <c r="C772" t="s">
        <v>20</v>
      </c>
      <c r="D772" t="s">
        <v>97</v>
      </c>
      <c r="E772" t="s">
        <v>28</v>
      </c>
      <c r="F772" t="s">
        <v>125</v>
      </c>
      <c r="G772" t="s">
        <v>83</v>
      </c>
      <c r="H772">
        <v>2</v>
      </c>
      <c r="I772">
        <v>9332.17</v>
      </c>
      <c r="J772" s="2">
        <v>0</v>
      </c>
      <c r="K772" t="s">
        <v>31</v>
      </c>
      <c r="L772">
        <v>18664.34</v>
      </c>
      <c r="M772" t="str">
        <f>TEXT(Table1[[#This Row],[OrderDate]], "mmm")</f>
        <v>Dec</v>
      </c>
      <c r="N772" t="str">
        <f>IF(Table1[[#This Row],[TotalSales]]&gt;50000,"High",IF(L772&gt;20000,"Medium","Low"))</f>
        <v>Low</v>
      </c>
      <c r="O772">
        <f>Table1[[#This Row],[TotalSales]]/Table1[[#This Row],[Quantity]]</f>
        <v>9332.17</v>
      </c>
    </row>
    <row r="773" spans="1:15" x14ac:dyDescent="0.35">
      <c r="A773" t="s">
        <v>831</v>
      </c>
      <c r="B773" s="1">
        <v>45639</v>
      </c>
      <c r="C773" t="s">
        <v>46</v>
      </c>
      <c r="D773" t="s">
        <v>47</v>
      </c>
      <c r="E773" t="s">
        <v>22</v>
      </c>
      <c r="F773" t="s">
        <v>52</v>
      </c>
      <c r="G773" t="s">
        <v>30</v>
      </c>
      <c r="H773">
        <v>13</v>
      </c>
      <c r="I773">
        <v>46949.31</v>
      </c>
      <c r="J773" s="2">
        <v>0.1</v>
      </c>
      <c r="K773" t="s">
        <v>31</v>
      </c>
      <c r="L773">
        <v>549306.93000000005</v>
      </c>
      <c r="M773" t="str">
        <f>TEXT(Table1[[#This Row],[OrderDate]], "mmm")</f>
        <v>Dec</v>
      </c>
      <c r="N773" t="str">
        <f>IF(Table1[[#This Row],[TotalSales]]&gt;50000,"High",IF(L773&gt;20000,"Medium","Low"))</f>
        <v>High</v>
      </c>
      <c r="O773">
        <f>Table1[[#This Row],[TotalSales]]/Table1[[#This Row],[Quantity]]</f>
        <v>42254.379230769235</v>
      </c>
    </row>
    <row r="774" spans="1:15" x14ac:dyDescent="0.35">
      <c r="A774" t="s">
        <v>832</v>
      </c>
      <c r="B774" s="1">
        <v>45560</v>
      </c>
      <c r="C774" t="s">
        <v>13</v>
      </c>
      <c r="D774" t="s">
        <v>14</v>
      </c>
      <c r="E774" t="s">
        <v>15</v>
      </c>
      <c r="F774" t="s">
        <v>16</v>
      </c>
      <c r="G774" t="s">
        <v>30</v>
      </c>
      <c r="H774">
        <v>9</v>
      </c>
      <c r="I774">
        <v>9368.2999999999993</v>
      </c>
      <c r="J774" s="2">
        <v>0</v>
      </c>
      <c r="K774" t="s">
        <v>44</v>
      </c>
      <c r="L774">
        <v>84314.7</v>
      </c>
      <c r="M774" t="str">
        <f>TEXT(Table1[[#This Row],[OrderDate]], "mmm")</f>
        <v>Sep</v>
      </c>
      <c r="N774" t="str">
        <f>IF(Table1[[#This Row],[TotalSales]]&gt;50000,"High",IF(L774&gt;20000,"Medium","Low"))</f>
        <v>High</v>
      </c>
      <c r="O774">
        <f>Table1[[#This Row],[TotalSales]]/Table1[[#This Row],[Quantity]]</f>
        <v>9368.2999999999993</v>
      </c>
    </row>
    <row r="775" spans="1:15" x14ac:dyDescent="0.35">
      <c r="A775" t="s">
        <v>833</v>
      </c>
      <c r="B775" s="1">
        <v>45526</v>
      </c>
      <c r="C775" t="s">
        <v>13</v>
      </c>
      <c r="D775" t="s">
        <v>37</v>
      </c>
      <c r="E775" t="s">
        <v>28</v>
      </c>
      <c r="F775" t="s">
        <v>104</v>
      </c>
      <c r="G775" t="s">
        <v>30</v>
      </c>
      <c r="H775">
        <v>1</v>
      </c>
      <c r="I775">
        <v>45560.67</v>
      </c>
      <c r="J775" s="2">
        <v>0</v>
      </c>
      <c r="K775" t="s">
        <v>31</v>
      </c>
      <c r="L775">
        <v>45560.67</v>
      </c>
      <c r="M775" t="str">
        <f>TEXT(Table1[[#This Row],[OrderDate]], "mmm")</f>
        <v>Aug</v>
      </c>
      <c r="N775" t="str">
        <f>IF(Table1[[#This Row],[TotalSales]]&gt;50000,"High",IF(L775&gt;20000,"Medium","Low"))</f>
        <v>Medium</v>
      </c>
      <c r="O775">
        <f>Table1[[#This Row],[TotalSales]]/Table1[[#This Row],[Quantity]]</f>
        <v>45560.67</v>
      </c>
    </row>
    <row r="776" spans="1:15" x14ac:dyDescent="0.35">
      <c r="A776" t="s">
        <v>834</v>
      </c>
      <c r="B776" s="1">
        <v>45404</v>
      </c>
      <c r="C776" t="s">
        <v>20</v>
      </c>
      <c r="D776" t="s">
        <v>97</v>
      </c>
      <c r="E776" t="s">
        <v>28</v>
      </c>
      <c r="F776" t="s">
        <v>76</v>
      </c>
      <c r="G776" t="s">
        <v>83</v>
      </c>
      <c r="H776">
        <v>11</v>
      </c>
      <c r="I776">
        <v>54675.97</v>
      </c>
      <c r="J776" s="2">
        <v>0</v>
      </c>
      <c r="K776" t="s">
        <v>18</v>
      </c>
      <c r="L776">
        <v>601435.67000000004</v>
      </c>
      <c r="M776" t="str">
        <f>TEXT(Table1[[#This Row],[OrderDate]], "mmm")</f>
        <v>Apr</v>
      </c>
      <c r="N776" t="str">
        <f>IF(Table1[[#This Row],[TotalSales]]&gt;50000,"High",IF(L776&gt;20000,"Medium","Low"))</f>
        <v>High</v>
      </c>
      <c r="O776">
        <f>Table1[[#This Row],[TotalSales]]/Table1[[#This Row],[Quantity]]</f>
        <v>54675.97</v>
      </c>
    </row>
    <row r="777" spans="1:15" x14ac:dyDescent="0.35">
      <c r="A777" t="s">
        <v>835</v>
      </c>
      <c r="B777" s="1">
        <v>45347</v>
      </c>
      <c r="C777" t="s">
        <v>40</v>
      </c>
      <c r="D777" t="s">
        <v>51</v>
      </c>
      <c r="E777" t="s">
        <v>15</v>
      </c>
      <c r="F777" t="s">
        <v>59</v>
      </c>
      <c r="G777" t="s">
        <v>24</v>
      </c>
      <c r="H777">
        <v>5</v>
      </c>
      <c r="I777">
        <v>48267.49</v>
      </c>
      <c r="J777" s="2">
        <v>0.15</v>
      </c>
      <c r="K777" t="s">
        <v>44</v>
      </c>
      <c r="L777">
        <v>205136.83</v>
      </c>
      <c r="M777" t="str">
        <f>TEXT(Table1[[#This Row],[OrderDate]], "mmm")</f>
        <v>Feb</v>
      </c>
      <c r="N777" t="str">
        <f>IF(Table1[[#This Row],[TotalSales]]&gt;50000,"High",IF(L777&gt;20000,"Medium","Low"))</f>
        <v>High</v>
      </c>
      <c r="O777">
        <f>Table1[[#This Row],[TotalSales]]/Table1[[#This Row],[Quantity]]</f>
        <v>41027.365999999995</v>
      </c>
    </row>
    <row r="778" spans="1:15" x14ac:dyDescent="0.35">
      <c r="A778" t="s">
        <v>836</v>
      </c>
      <c r="B778" s="1">
        <v>45505</v>
      </c>
      <c r="C778" t="s">
        <v>40</v>
      </c>
      <c r="D778" t="s">
        <v>51</v>
      </c>
      <c r="E778" t="s">
        <v>28</v>
      </c>
      <c r="F778" t="s">
        <v>29</v>
      </c>
      <c r="G778" t="s">
        <v>30</v>
      </c>
      <c r="H778">
        <v>5</v>
      </c>
      <c r="I778">
        <v>17150.919999999998</v>
      </c>
      <c r="J778" s="2">
        <v>0</v>
      </c>
      <c r="K778" t="s">
        <v>44</v>
      </c>
      <c r="L778">
        <v>85754.6</v>
      </c>
      <c r="M778" t="str">
        <f>TEXT(Table1[[#This Row],[OrderDate]], "mmm")</f>
        <v>Aug</v>
      </c>
      <c r="N778" t="str">
        <f>IF(Table1[[#This Row],[TotalSales]]&gt;50000,"High",IF(L778&gt;20000,"Medium","Low"))</f>
        <v>High</v>
      </c>
      <c r="O778">
        <f>Table1[[#This Row],[TotalSales]]/Table1[[#This Row],[Quantity]]</f>
        <v>17150.920000000002</v>
      </c>
    </row>
    <row r="779" spans="1:15" x14ac:dyDescent="0.35">
      <c r="A779" t="s">
        <v>837</v>
      </c>
      <c r="B779" s="1">
        <v>45642</v>
      </c>
      <c r="C779" t="s">
        <v>46</v>
      </c>
      <c r="D779" t="s">
        <v>79</v>
      </c>
      <c r="E779" t="s">
        <v>28</v>
      </c>
      <c r="F779" t="s">
        <v>76</v>
      </c>
      <c r="G779" t="s">
        <v>30</v>
      </c>
      <c r="H779">
        <v>3</v>
      </c>
      <c r="I779">
        <v>25754.2</v>
      </c>
      <c r="J779" s="2">
        <v>0</v>
      </c>
      <c r="K779" t="s">
        <v>44</v>
      </c>
      <c r="L779">
        <v>77262.600000000006</v>
      </c>
      <c r="M779" t="str">
        <f>TEXT(Table1[[#This Row],[OrderDate]], "mmm")</f>
        <v>Dec</v>
      </c>
      <c r="N779" t="str">
        <f>IF(Table1[[#This Row],[TotalSales]]&gt;50000,"High",IF(L779&gt;20000,"Medium","Low"))</f>
        <v>High</v>
      </c>
      <c r="O779">
        <f>Table1[[#This Row],[TotalSales]]/Table1[[#This Row],[Quantity]]</f>
        <v>25754.2</v>
      </c>
    </row>
    <row r="780" spans="1:15" x14ac:dyDescent="0.35">
      <c r="A780" t="s">
        <v>838</v>
      </c>
      <c r="B780" s="1">
        <v>45312</v>
      </c>
      <c r="C780" t="s">
        <v>46</v>
      </c>
      <c r="D780" t="s">
        <v>79</v>
      </c>
      <c r="E780" t="s">
        <v>15</v>
      </c>
      <c r="F780" t="s">
        <v>56</v>
      </c>
      <c r="G780" t="s">
        <v>43</v>
      </c>
      <c r="H780">
        <v>4</v>
      </c>
      <c r="I780">
        <v>15709.35</v>
      </c>
      <c r="J780" s="2">
        <v>0.1</v>
      </c>
      <c r="K780" t="s">
        <v>31</v>
      </c>
      <c r="L780">
        <v>56553.66</v>
      </c>
      <c r="M780" t="str">
        <f>TEXT(Table1[[#This Row],[OrderDate]], "mmm")</f>
        <v>Jan</v>
      </c>
      <c r="N780" t="str">
        <f>IF(Table1[[#This Row],[TotalSales]]&gt;50000,"High",IF(L780&gt;20000,"Medium","Low"))</f>
        <v>High</v>
      </c>
      <c r="O780">
        <f>Table1[[#This Row],[TotalSales]]/Table1[[#This Row],[Quantity]]</f>
        <v>14138.415000000001</v>
      </c>
    </row>
    <row r="781" spans="1:15" x14ac:dyDescent="0.35">
      <c r="A781" t="s">
        <v>839</v>
      </c>
      <c r="B781" s="1">
        <v>45549</v>
      </c>
      <c r="C781" t="s">
        <v>13</v>
      </c>
      <c r="D781" t="s">
        <v>37</v>
      </c>
      <c r="E781" t="s">
        <v>28</v>
      </c>
      <c r="F781" t="s">
        <v>125</v>
      </c>
      <c r="G781" t="s">
        <v>69</v>
      </c>
      <c r="H781">
        <v>11</v>
      </c>
      <c r="I781">
        <v>52727.13</v>
      </c>
      <c r="J781" s="2">
        <v>0.1</v>
      </c>
      <c r="K781" t="s">
        <v>25</v>
      </c>
      <c r="L781">
        <v>521998.59</v>
      </c>
      <c r="M781" t="str">
        <f>TEXT(Table1[[#This Row],[OrderDate]], "mmm")</f>
        <v>Sep</v>
      </c>
      <c r="N781" t="str">
        <f>IF(Table1[[#This Row],[TotalSales]]&gt;50000,"High",IF(L781&gt;20000,"Medium","Low"))</f>
        <v>High</v>
      </c>
      <c r="O781">
        <f>Table1[[#This Row],[TotalSales]]/Table1[[#This Row],[Quantity]]</f>
        <v>47454.417272727274</v>
      </c>
    </row>
    <row r="782" spans="1:15" x14ac:dyDescent="0.35">
      <c r="A782" t="s">
        <v>840</v>
      </c>
      <c r="B782" s="1">
        <v>45534</v>
      </c>
      <c r="C782" t="s">
        <v>20</v>
      </c>
      <c r="D782" t="s">
        <v>27</v>
      </c>
      <c r="E782" t="s">
        <v>15</v>
      </c>
      <c r="F782" t="s">
        <v>56</v>
      </c>
      <c r="G782" t="s">
        <v>49</v>
      </c>
      <c r="H782">
        <v>15</v>
      </c>
      <c r="I782">
        <v>19633.849999999999</v>
      </c>
      <c r="J782" s="2">
        <v>0.2</v>
      </c>
      <c r="K782" t="s">
        <v>44</v>
      </c>
      <c r="L782">
        <v>235606.2</v>
      </c>
      <c r="M782" t="str">
        <f>TEXT(Table1[[#This Row],[OrderDate]], "mmm")</f>
        <v>Aug</v>
      </c>
      <c r="N782" t="str">
        <f>IF(Table1[[#This Row],[TotalSales]]&gt;50000,"High",IF(L782&gt;20000,"Medium","Low"))</f>
        <v>High</v>
      </c>
      <c r="O782">
        <f>Table1[[#This Row],[TotalSales]]/Table1[[#This Row],[Quantity]]</f>
        <v>15707.08</v>
      </c>
    </row>
    <row r="783" spans="1:15" x14ac:dyDescent="0.35">
      <c r="A783" t="s">
        <v>841</v>
      </c>
      <c r="B783" s="1">
        <v>45457</v>
      </c>
      <c r="C783" t="s">
        <v>40</v>
      </c>
      <c r="D783" t="s">
        <v>51</v>
      </c>
      <c r="E783" t="s">
        <v>28</v>
      </c>
      <c r="F783" t="s">
        <v>125</v>
      </c>
      <c r="G783" t="s">
        <v>49</v>
      </c>
      <c r="H783">
        <v>13</v>
      </c>
      <c r="I783">
        <v>31883.57</v>
      </c>
      <c r="J783" s="2">
        <v>0.15</v>
      </c>
      <c r="K783" t="s">
        <v>31</v>
      </c>
      <c r="L783">
        <v>352313.45</v>
      </c>
      <c r="M783" t="str">
        <f>TEXT(Table1[[#This Row],[OrderDate]], "mmm")</f>
        <v>Jun</v>
      </c>
      <c r="N783" t="str">
        <f>IF(Table1[[#This Row],[TotalSales]]&gt;50000,"High",IF(L783&gt;20000,"Medium","Low"))</f>
        <v>High</v>
      </c>
      <c r="O783">
        <f>Table1[[#This Row],[TotalSales]]/Table1[[#This Row],[Quantity]]</f>
        <v>27101.034615384615</v>
      </c>
    </row>
    <row r="784" spans="1:15" x14ac:dyDescent="0.35">
      <c r="A784" t="s">
        <v>842</v>
      </c>
      <c r="B784" s="1">
        <v>45515</v>
      </c>
      <c r="C784" t="s">
        <v>20</v>
      </c>
      <c r="D784" t="s">
        <v>97</v>
      </c>
      <c r="E784" t="s">
        <v>28</v>
      </c>
      <c r="F784" t="s">
        <v>104</v>
      </c>
      <c r="G784" t="s">
        <v>83</v>
      </c>
      <c r="H784">
        <v>2</v>
      </c>
      <c r="I784">
        <v>7795.82</v>
      </c>
      <c r="J784" s="2">
        <v>0.05</v>
      </c>
      <c r="K784" t="s">
        <v>25</v>
      </c>
      <c r="L784">
        <v>14812.06</v>
      </c>
      <c r="M784" t="str">
        <f>TEXT(Table1[[#This Row],[OrderDate]], "mmm")</f>
        <v>Aug</v>
      </c>
      <c r="N784" t="str">
        <f>IF(Table1[[#This Row],[TotalSales]]&gt;50000,"High",IF(L784&gt;20000,"Medium","Low"))</f>
        <v>Low</v>
      </c>
      <c r="O784">
        <f>Table1[[#This Row],[TotalSales]]/Table1[[#This Row],[Quantity]]</f>
        <v>7406.03</v>
      </c>
    </row>
    <row r="785" spans="1:15" x14ac:dyDescent="0.35">
      <c r="A785" t="s">
        <v>843</v>
      </c>
      <c r="B785" s="1">
        <v>45306</v>
      </c>
      <c r="C785" t="s">
        <v>40</v>
      </c>
      <c r="D785" t="s">
        <v>41</v>
      </c>
      <c r="E785" t="s">
        <v>34</v>
      </c>
      <c r="F785" t="s">
        <v>88</v>
      </c>
      <c r="G785" t="s">
        <v>69</v>
      </c>
      <c r="H785">
        <v>15</v>
      </c>
      <c r="I785">
        <v>30828.22</v>
      </c>
      <c r="J785" s="2">
        <v>0.2</v>
      </c>
      <c r="K785" t="s">
        <v>44</v>
      </c>
      <c r="L785">
        <v>369938.64</v>
      </c>
      <c r="M785" t="str">
        <f>TEXT(Table1[[#This Row],[OrderDate]], "mmm")</f>
        <v>Jan</v>
      </c>
      <c r="N785" t="str">
        <f>IF(Table1[[#This Row],[TotalSales]]&gt;50000,"High",IF(L785&gt;20000,"Medium","Low"))</f>
        <v>High</v>
      </c>
      <c r="O785">
        <f>Table1[[#This Row],[TotalSales]]/Table1[[#This Row],[Quantity]]</f>
        <v>24662.576000000001</v>
      </c>
    </row>
    <row r="786" spans="1:15" x14ac:dyDescent="0.35">
      <c r="A786" t="s">
        <v>844</v>
      </c>
      <c r="B786" s="1">
        <v>45356</v>
      </c>
      <c r="C786" t="s">
        <v>46</v>
      </c>
      <c r="D786" t="s">
        <v>79</v>
      </c>
      <c r="E786" t="s">
        <v>22</v>
      </c>
      <c r="F786" t="s">
        <v>52</v>
      </c>
      <c r="G786" t="s">
        <v>43</v>
      </c>
      <c r="H786">
        <v>7</v>
      </c>
      <c r="I786">
        <v>36920.339999999997</v>
      </c>
      <c r="J786" s="2">
        <v>0.05</v>
      </c>
      <c r="K786" t="s">
        <v>44</v>
      </c>
      <c r="L786">
        <v>245520.26</v>
      </c>
      <c r="M786" t="str">
        <f>TEXT(Table1[[#This Row],[OrderDate]], "mmm")</f>
        <v>Mar</v>
      </c>
      <c r="N786" t="str">
        <f>IF(Table1[[#This Row],[TotalSales]]&gt;50000,"High",IF(L786&gt;20000,"Medium","Low"))</f>
        <v>High</v>
      </c>
      <c r="O786">
        <f>Table1[[#This Row],[TotalSales]]/Table1[[#This Row],[Quantity]]</f>
        <v>35074.322857142855</v>
      </c>
    </row>
    <row r="787" spans="1:15" x14ac:dyDescent="0.35">
      <c r="A787" t="s">
        <v>845</v>
      </c>
      <c r="B787" s="1">
        <v>45581</v>
      </c>
      <c r="C787" t="s">
        <v>46</v>
      </c>
      <c r="D787" t="s">
        <v>79</v>
      </c>
      <c r="E787" t="s">
        <v>15</v>
      </c>
      <c r="F787" t="s">
        <v>56</v>
      </c>
      <c r="G787" t="s">
        <v>43</v>
      </c>
      <c r="H787">
        <v>8</v>
      </c>
      <c r="I787">
        <v>38044.49</v>
      </c>
      <c r="J787" s="2">
        <v>0.2</v>
      </c>
      <c r="K787" t="s">
        <v>18</v>
      </c>
      <c r="L787">
        <v>243484.74</v>
      </c>
      <c r="M787" t="str">
        <f>TEXT(Table1[[#This Row],[OrderDate]], "mmm")</f>
        <v>Oct</v>
      </c>
      <c r="N787" t="str">
        <f>IF(Table1[[#This Row],[TotalSales]]&gt;50000,"High",IF(L787&gt;20000,"Medium","Low"))</f>
        <v>High</v>
      </c>
      <c r="O787">
        <f>Table1[[#This Row],[TotalSales]]/Table1[[#This Row],[Quantity]]</f>
        <v>30435.592499999999</v>
      </c>
    </row>
    <row r="788" spans="1:15" x14ac:dyDescent="0.35">
      <c r="A788" t="s">
        <v>846</v>
      </c>
      <c r="B788" s="1">
        <v>45637</v>
      </c>
      <c r="C788" t="s">
        <v>20</v>
      </c>
      <c r="D788" t="s">
        <v>27</v>
      </c>
      <c r="E788" t="s">
        <v>22</v>
      </c>
      <c r="F788" t="s">
        <v>82</v>
      </c>
      <c r="G788" t="s">
        <v>69</v>
      </c>
      <c r="H788">
        <v>11</v>
      </c>
      <c r="I788">
        <v>46903.61</v>
      </c>
      <c r="J788" s="2">
        <v>0</v>
      </c>
      <c r="K788" t="s">
        <v>31</v>
      </c>
      <c r="L788">
        <v>515939.71</v>
      </c>
      <c r="M788" t="str">
        <f>TEXT(Table1[[#This Row],[OrderDate]], "mmm")</f>
        <v>Dec</v>
      </c>
      <c r="N788" t="str">
        <f>IF(Table1[[#This Row],[TotalSales]]&gt;50000,"High",IF(L788&gt;20000,"Medium","Low"))</f>
        <v>High</v>
      </c>
      <c r="O788">
        <f>Table1[[#This Row],[TotalSales]]/Table1[[#This Row],[Quantity]]</f>
        <v>46903.61</v>
      </c>
    </row>
    <row r="789" spans="1:15" x14ac:dyDescent="0.35">
      <c r="A789" t="s">
        <v>847</v>
      </c>
      <c r="B789" s="1">
        <v>45353</v>
      </c>
      <c r="C789" t="s">
        <v>20</v>
      </c>
      <c r="D789" t="s">
        <v>21</v>
      </c>
      <c r="E789" t="s">
        <v>15</v>
      </c>
      <c r="F789" t="s">
        <v>16</v>
      </c>
      <c r="G789" t="s">
        <v>17</v>
      </c>
      <c r="H789">
        <v>9</v>
      </c>
      <c r="I789">
        <v>5508.13</v>
      </c>
      <c r="J789" s="2">
        <v>0</v>
      </c>
      <c r="K789" t="s">
        <v>44</v>
      </c>
      <c r="L789">
        <v>49573.17</v>
      </c>
      <c r="M789" t="str">
        <f>TEXT(Table1[[#This Row],[OrderDate]], "mmm")</f>
        <v>Mar</v>
      </c>
      <c r="N789" t="str">
        <f>IF(Table1[[#This Row],[TotalSales]]&gt;50000,"High",IF(L789&gt;20000,"Medium","Low"))</f>
        <v>Medium</v>
      </c>
      <c r="O789">
        <f>Table1[[#This Row],[TotalSales]]/Table1[[#This Row],[Quantity]]</f>
        <v>5508.13</v>
      </c>
    </row>
    <row r="790" spans="1:15" x14ac:dyDescent="0.35">
      <c r="A790" t="s">
        <v>848</v>
      </c>
      <c r="B790" s="1">
        <v>45571</v>
      </c>
      <c r="C790" t="s">
        <v>20</v>
      </c>
      <c r="D790" t="s">
        <v>27</v>
      </c>
      <c r="E790" t="s">
        <v>34</v>
      </c>
      <c r="F790" t="s">
        <v>88</v>
      </c>
      <c r="G790" t="s">
        <v>43</v>
      </c>
      <c r="H790">
        <v>5</v>
      </c>
      <c r="I790">
        <v>45228.42</v>
      </c>
      <c r="J790" s="2">
        <v>0.15</v>
      </c>
      <c r="K790" t="s">
        <v>18</v>
      </c>
      <c r="L790">
        <v>192220.78</v>
      </c>
      <c r="M790" t="str">
        <f>TEXT(Table1[[#This Row],[OrderDate]], "mmm")</f>
        <v>Oct</v>
      </c>
      <c r="N790" t="str">
        <f>IF(Table1[[#This Row],[TotalSales]]&gt;50000,"High",IF(L790&gt;20000,"Medium","Low"))</f>
        <v>High</v>
      </c>
      <c r="O790">
        <f>Table1[[#This Row],[TotalSales]]/Table1[[#This Row],[Quantity]]</f>
        <v>38444.156000000003</v>
      </c>
    </row>
    <row r="791" spans="1:15" x14ac:dyDescent="0.35">
      <c r="A791" t="s">
        <v>849</v>
      </c>
      <c r="B791" s="1">
        <v>45650</v>
      </c>
      <c r="C791" t="s">
        <v>20</v>
      </c>
      <c r="D791" t="s">
        <v>21</v>
      </c>
      <c r="E791" t="s">
        <v>22</v>
      </c>
      <c r="F791" t="s">
        <v>42</v>
      </c>
      <c r="G791" t="s">
        <v>49</v>
      </c>
      <c r="H791">
        <v>9</v>
      </c>
      <c r="I791">
        <v>11179.24</v>
      </c>
      <c r="J791" s="2">
        <v>0.05</v>
      </c>
      <c r="K791" t="s">
        <v>25</v>
      </c>
      <c r="L791">
        <v>95582.5</v>
      </c>
      <c r="M791" t="str">
        <f>TEXT(Table1[[#This Row],[OrderDate]], "mmm")</f>
        <v>Dec</v>
      </c>
      <c r="N791" t="str">
        <f>IF(Table1[[#This Row],[TotalSales]]&gt;50000,"High",IF(L791&gt;20000,"Medium","Low"))</f>
        <v>High</v>
      </c>
      <c r="O791">
        <f>Table1[[#This Row],[TotalSales]]/Table1[[#This Row],[Quantity]]</f>
        <v>10620.277777777777</v>
      </c>
    </row>
    <row r="792" spans="1:15" x14ac:dyDescent="0.35">
      <c r="A792" t="s">
        <v>850</v>
      </c>
      <c r="B792" s="1">
        <v>45509</v>
      </c>
      <c r="C792" t="s">
        <v>40</v>
      </c>
      <c r="D792" t="s">
        <v>41</v>
      </c>
      <c r="E792" t="s">
        <v>34</v>
      </c>
      <c r="F792" t="s">
        <v>35</v>
      </c>
      <c r="G792" t="s">
        <v>30</v>
      </c>
      <c r="H792">
        <v>3</v>
      </c>
      <c r="I792">
        <v>1732.79</v>
      </c>
      <c r="J792" s="2">
        <v>0.05</v>
      </c>
      <c r="K792" t="s">
        <v>31</v>
      </c>
      <c r="L792">
        <v>4938.45</v>
      </c>
      <c r="M792" t="str">
        <f>TEXT(Table1[[#This Row],[OrderDate]], "mmm")</f>
        <v>Aug</v>
      </c>
      <c r="N792" t="str">
        <f>IF(Table1[[#This Row],[TotalSales]]&gt;50000,"High",IF(L792&gt;20000,"Medium","Low"))</f>
        <v>Low</v>
      </c>
      <c r="O792">
        <f>Table1[[#This Row],[TotalSales]]/Table1[[#This Row],[Quantity]]</f>
        <v>1646.1499999999999</v>
      </c>
    </row>
    <row r="793" spans="1:15" x14ac:dyDescent="0.35">
      <c r="A793" t="s">
        <v>851</v>
      </c>
      <c r="B793" s="1">
        <v>45526</v>
      </c>
      <c r="C793" t="s">
        <v>40</v>
      </c>
      <c r="D793" t="s">
        <v>51</v>
      </c>
      <c r="E793" t="s">
        <v>28</v>
      </c>
      <c r="F793" t="s">
        <v>125</v>
      </c>
      <c r="G793" t="s">
        <v>66</v>
      </c>
      <c r="H793">
        <v>5</v>
      </c>
      <c r="I793">
        <v>699.78</v>
      </c>
      <c r="J793" s="2">
        <v>0</v>
      </c>
      <c r="K793" t="s">
        <v>31</v>
      </c>
      <c r="L793">
        <v>3498.9</v>
      </c>
      <c r="M793" t="str">
        <f>TEXT(Table1[[#This Row],[OrderDate]], "mmm")</f>
        <v>Aug</v>
      </c>
      <c r="N793" t="str">
        <f>IF(Table1[[#This Row],[TotalSales]]&gt;50000,"High",IF(L793&gt;20000,"Medium","Low"))</f>
        <v>Low</v>
      </c>
      <c r="O793">
        <f>Table1[[#This Row],[TotalSales]]/Table1[[#This Row],[Quantity]]</f>
        <v>699.78</v>
      </c>
    </row>
    <row r="794" spans="1:15" x14ac:dyDescent="0.35">
      <c r="A794" t="s">
        <v>852</v>
      </c>
      <c r="B794" s="1">
        <v>45580</v>
      </c>
      <c r="C794" t="s">
        <v>13</v>
      </c>
      <c r="D794" t="s">
        <v>33</v>
      </c>
      <c r="E794" t="s">
        <v>22</v>
      </c>
      <c r="F794" t="s">
        <v>42</v>
      </c>
      <c r="G794" t="s">
        <v>66</v>
      </c>
      <c r="H794">
        <v>6</v>
      </c>
      <c r="I794">
        <v>25379.599999999999</v>
      </c>
      <c r="J794" s="2">
        <v>0.2</v>
      </c>
      <c r="K794" t="s">
        <v>31</v>
      </c>
      <c r="L794">
        <v>121822.08</v>
      </c>
      <c r="M794" t="str">
        <f>TEXT(Table1[[#This Row],[OrderDate]], "mmm")</f>
        <v>Oct</v>
      </c>
      <c r="N794" t="str">
        <f>IF(Table1[[#This Row],[TotalSales]]&gt;50000,"High",IF(L794&gt;20000,"Medium","Low"))</f>
        <v>High</v>
      </c>
      <c r="O794">
        <f>Table1[[#This Row],[TotalSales]]/Table1[[#This Row],[Quantity]]</f>
        <v>20303.68</v>
      </c>
    </row>
    <row r="795" spans="1:15" x14ac:dyDescent="0.35">
      <c r="A795" t="s">
        <v>853</v>
      </c>
      <c r="B795" s="1">
        <v>45629</v>
      </c>
      <c r="C795" t="s">
        <v>40</v>
      </c>
      <c r="D795" t="s">
        <v>51</v>
      </c>
      <c r="E795" t="s">
        <v>34</v>
      </c>
      <c r="F795" t="s">
        <v>88</v>
      </c>
      <c r="G795" t="s">
        <v>83</v>
      </c>
      <c r="H795">
        <v>3</v>
      </c>
      <c r="I795">
        <v>31766.93</v>
      </c>
      <c r="J795" s="2">
        <v>0.1</v>
      </c>
      <c r="K795" t="s">
        <v>25</v>
      </c>
      <c r="L795">
        <v>85770.71</v>
      </c>
      <c r="M795" t="str">
        <f>TEXT(Table1[[#This Row],[OrderDate]], "mmm")</f>
        <v>Dec</v>
      </c>
      <c r="N795" t="str">
        <f>IF(Table1[[#This Row],[TotalSales]]&gt;50000,"High",IF(L795&gt;20000,"Medium","Low"))</f>
        <v>High</v>
      </c>
      <c r="O795">
        <f>Table1[[#This Row],[TotalSales]]/Table1[[#This Row],[Quantity]]</f>
        <v>28590.236666666668</v>
      </c>
    </row>
    <row r="796" spans="1:15" x14ac:dyDescent="0.35">
      <c r="A796" t="s">
        <v>854</v>
      </c>
      <c r="B796" s="1">
        <v>45373</v>
      </c>
      <c r="C796" t="s">
        <v>46</v>
      </c>
      <c r="D796" t="s">
        <v>71</v>
      </c>
      <c r="E796" t="s">
        <v>15</v>
      </c>
      <c r="F796" t="s">
        <v>16</v>
      </c>
      <c r="G796" t="s">
        <v>69</v>
      </c>
      <c r="H796">
        <v>4</v>
      </c>
      <c r="I796">
        <v>5490.42</v>
      </c>
      <c r="J796" s="2">
        <v>0</v>
      </c>
      <c r="K796" t="s">
        <v>31</v>
      </c>
      <c r="L796">
        <v>21961.68</v>
      </c>
      <c r="M796" t="str">
        <f>TEXT(Table1[[#This Row],[OrderDate]], "mmm")</f>
        <v>Mar</v>
      </c>
      <c r="N796" t="str">
        <f>IF(Table1[[#This Row],[TotalSales]]&gt;50000,"High",IF(L796&gt;20000,"Medium","Low"))</f>
        <v>Medium</v>
      </c>
      <c r="O796">
        <f>Table1[[#This Row],[TotalSales]]/Table1[[#This Row],[Quantity]]</f>
        <v>5490.42</v>
      </c>
    </row>
    <row r="797" spans="1:15" x14ac:dyDescent="0.35">
      <c r="A797" t="s">
        <v>855</v>
      </c>
      <c r="B797" s="1">
        <v>45323</v>
      </c>
      <c r="C797" t="s">
        <v>40</v>
      </c>
      <c r="D797" t="s">
        <v>55</v>
      </c>
      <c r="E797" t="s">
        <v>22</v>
      </c>
      <c r="F797" t="s">
        <v>82</v>
      </c>
      <c r="G797" t="s">
        <v>43</v>
      </c>
      <c r="H797">
        <v>10</v>
      </c>
      <c r="I797">
        <v>13926.51</v>
      </c>
      <c r="J797" s="2">
        <v>0</v>
      </c>
      <c r="K797" t="s">
        <v>18</v>
      </c>
      <c r="L797">
        <v>139265.1</v>
      </c>
      <c r="M797" t="str">
        <f>TEXT(Table1[[#This Row],[OrderDate]], "mmm")</f>
        <v>Feb</v>
      </c>
      <c r="N797" t="str">
        <f>IF(Table1[[#This Row],[TotalSales]]&gt;50000,"High",IF(L797&gt;20000,"Medium","Low"))</f>
        <v>High</v>
      </c>
      <c r="O797">
        <f>Table1[[#This Row],[TotalSales]]/Table1[[#This Row],[Quantity]]</f>
        <v>13926.51</v>
      </c>
    </row>
    <row r="798" spans="1:15" x14ac:dyDescent="0.35">
      <c r="A798" t="s">
        <v>856</v>
      </c>
      <c r="B798" s="1">
        <v>45360</v>
      </c>
      <c r="C798" t="s">
        <v>40</v>
      </c>
      <c r="D798" t="s">
        <v>41</v>
      </c>
      <c r="E798" t="s">
        <v>28</v>
      </c>
      <c r="F798" t="s">
        <v>76</v>
      </c>
      <c r="G798" t="s">
        <v>24</v>
      </c>
      <c r="H798">
        <v>11</v>
      </c>
      <c r="I798">
        <v>31643.13</v>
      </c>
      <c r="J798" s="2">
        <v>0</v>
      </c>
      <c r="K798" t="s">
        <v>25</v>
      </c>
      <c r="L798">
        <v>348074.43</v>
      </c>
      <c r="M798" t="str">
        <f>TEXT(Table1[[#This Row],[OrderDate]], "mmm")</f>
        <v>Mar</v>
      </c>
      <c r="N798" t="str">
        <f>IF(Table1[[#This Row],[TotalSales]]&gt;50000,"High",IF(L798&gt;20000,"Medium","Low"))</f>
        <v>High</v>
      </c>
      <c r="O798">
        <f>Table1[[#This Row],[TotalSales]]/Table1[[#This Row],[Quantity]]</f>
        <v>31643.13</v>
      </c>
    </row>
    <row r="799" spans="1:15" x14ac:dyDescent="0.35">
      <c r="A799" t="s">
        <v>857</v>
      </c>
      <c r="B799" s="1">
        <v>45634</v>
      </c>
      <c r="C799" t="s">
        <v>46</v>
      </c>
      <c r="D799" t="s">
        <v>71</v>
      </c>
      <c r="E799" t="s">
        <v>22</v>
      </c>
      <c r="F799" t="s">
        <v>23</v>
      </c>
      <c r="G799" t="s">
        <v>17</v>
      </c>
      <c r="H799">
        <v>2</v>
      </c>
      <c r="I799">
        <v>11353.97</v>
      </c>
      <c r="J799" s="2">
        <v>0.2</v>
      </c>
      <c r="K799" t="s">
        <v>44</v>
      </c>
      <c r="L799">
        <v>18166.349999999999</v>
      </c>
      <c r="M799" t="str">
        <f>TEXT(Table1[[#This Row],[OrderDate]], "mmm")</f>
        <v>Dec</v>
      </c>
      <c r="N799" t="str">
        <f>IF(Table1[[#This Row],[TotalSales]]&gt;50000,"High",IF(L799&gt;20000,"Medium","Low"))</f>
        <v>Low</v>
      </c>
      <c r="O799">
        <f>Table1[[#This Row],[TotalSales]]/Table1[[#This Row],[Quantity]]</f>
        <v>9083.1749999999993</v>
      </c>
    </row>
    <row r="800" spans="1:15" x14ac:dyDescent="0.35">
      <c r="A800" t="s">
        <v>858</v>
      </c>
      <c r="B800" s="1">
        <v>45584</v>
      </c>
      <c r="C800" t="s">
        <v>20</v>
      </c>
      <c r="D800" t="s">
        <v>27</v>
      </c>
      <c r="E800" t="s">
        <v>22</v>
      </c>
      <c r="F800" t="s">
        <v>82</v>
      </c>
      <c r="G800" t="s">
        <v>30</v>
      </c>
      <c r="H800">
        <v>14</v>
      </c>
      <c r="I800">
        <v>26160.560000000001</v>
      </c>
      <c r="J800" s="2">
        <v>0</v>
      </c>
      <c r="K800" t="s">
        <v>25</v>
      </c>
      <c r="L800">
        <v>366247.84</v>
      </c>
      <c r="M800" t="str">
        <f>TEXT(Table1[[#This Row],[OrderDate]], "mmm")</f>
        <v>Oct</v>
      </c>
      <c r="N800" t="str">
        <f>IF(Table1[[#This Row],[TotalSales]]&gt;50000,"High",IF(L800&gt;20000,"Medium","Low"))</f>
        <v>High</v>
      </c>
      <c r="O800">
        <f>Table1[[#This Row],[TotalSales]]/Table1[[#This Row],[Quantity]]</f>
        <v>26160.560000000001</v>
      </c>
    </row>
    <row r="801" spans="1:15" x14ac:dyDescent="0.35">
      <c r="A801" t="s">
        <v>859</v>
      </c>
      <c r="B801" s="1">
        <v>45556</v>
      </c>
      <c r="C801" t="s">
        <v>46</v>
      </c>
      <c r="D801" t="s">
        <v>47</v>
      </c>
      <c r="E801" t="s">
        <v>34</v>
      </c>
      <c r="F801" t="s">
        <v>35</v>
      </c>
      <c r="G801" t="s">
        <v>49</v>
      </c>
      <c r="H801">
        <v>5</v>
      </c>
      <c r="I801">
        <v>5730.03</v>
      </c>
      <c r="J801" s="2">
        <v>0.05</v>
      </c>
      <c r="K801" t="s">
        <v>44</v>
      </c>
      <c r="L801">
        <v>27217.64</v>
      </c>
      <c r="M801" t="str">
        <f>TEXT(Table1[[#This Row],[OrderDate]], "mmm")</f>
        <v>Sep</v>
      </c>
      <c r="N801" t="str">
        <f>IF(Table1[[#This Row],[TotalSales]]&gt;50000,"High",IF(L801&gt;20000,"Medium","Low"))</f>
        <v>Medium</v>
      </c>
      <c r="O801">
        <f>Table1[[#This Row],[TotalSales]]/Table1[[#This Row],[Quantity]]</f>
        <v>5443.5280000000002</v>
      </c>
    </row>
    <row r="802" spans="1:15" x14ac:dyDescent="0.35">
      <c r="A802" t="s">
        <v>860</v>
      </c>
      <c r="B802" s="1">
        <v>45439</v>
      </c>
      <c r="C802" t="s">
        <v>46</v>
      </c>
      <c r="D802" t="s">
        <v>47</v>
      </c>
      <c r="E802" t="s">
        <v>34</v>
      </c>
      <c r="F802" t="s">
        <v>48</v>
      </c>
      <c r="G802" t="s">
        <v>43</v>
      </c>
      <c r="H802">
        <v>2</v>
      </c>
      <c r="I802">
        <v>29486.42</v>
      </c>
      <c r="J802" s="2">
        <v>0</v>
      </c>
      <c r="K802" t="s">
        <v>31</v>
      </c>
      <c r="L802">
        <v>58972.84</v>
      </c>
      <c r="M802" t="str">
        <f>TEXT(Table1[[#This Row],[OrderDate]], "mmm")</f>
        <v>May</v>
      </c>
      <c r="N802" t="str">
        <f>IF(Table1[[#This Row],[TotalSales]]&gt;50000,"High",IF(L802&gt;20000,"Medium","Low"))</f>
        <v>High</v>
      </c>
      <c r="O802">
        <f>Table1[[#This Row],[TotalSales]]/Table1[[#This Row],[Quantity]]</f>
        <v>29486.42</v>
      </c>
    </row>
    <row r="803" spans="1:15" x14ac:dyDescent="0.35">
      <c r="A803" t="s">
        <v>861</v>
      </c>
      <c r="B803" s="1">
        <v>45465</v>
      </c>
      <c r="C803" t="s">
        <v>46</v>
      </c>
      <c r="D803" t="s">
        <v>47</v>
      </c>
      <c r="E803" t="s">
        <v>34</v>
      </c>
      <c r="F803" t="s">
        <v>48</v>
      </c>
      <c r="G803" t="s">
        <v>83</v>
      </c>
      <c r="H803">
        <v>7</v>
      </c>
      <c r="I803">
        <v>14496.28</v>
      </c>
      <c r="J803" s="2">
        <v>0</v>
      </c>
      <c r="K803" t="s">
        <v>31</v>
      </c>
      <c r="L803">
        <v>101473.96</v>
      </c>
      <c r="M803" t="str">
        <f>TEXT(Table1[[#This Row],[OrderDate]], "mmm")</f>
        <v>Jun</v>
      </c>
      <c r="N803" t="str">
        <f>IF(Table1[[#This Row],[TotalSales]]&gt;50000,"High",IF(L803&gt;20000,"Medium","Low"))</f>
        <v>High</v>
      </c>
      <c r="O803">
        <f>Table1[[#This Row],[TotalSales]]/Table1[[#This Row],[Quantity]]</f>
        <v>14496.28</v>
      </c>
    </row>
    <row r="804" spans="1:15" x14ac:dyDescent="0.35">
      <c r="A804" t="s">
        <v>862</v>
      </c>
      <c r="B804" s="1">
        <v>45604</v>
      </c>
      <c r="C804" t="s">
        <v>46</v>
      </c>
      <c r="D804" t="s">
        <v>71</v>
      </c>
      <c r="E804" t="s">
        <v>22</v>
      </c>
      <c r="F804" t="s">
        <v>82</v>
      </c>
      <c r="G804" t="s">
        <v>17</v>
      </c>
      <c r="H804">
        <v>12</v>
      </c>
      <c r="I804">
        <v>45958.19</v>
      </c>
      <c r="J804" s="2">
        <v>0.2</v>
      </c>
      <c r="K804" t="s">
        <v>25</v>
      </c>
      <c r="L804">
        <v>441198.62</v>
      </c>
      <c r="M804" t="str">
        <f>TEXT(Table1[[#This Row],[OrderDate]], "mmm")</f>
        <v>Nov</v>
      </c>
      <c r="N804" t="str">
        <f>IF(Table1[[#This Row],[TotalSales]]&gt;50000,"High",IF(L804&gt;20000,"Medium","Low"))</f>
        <v>High</v>
      </c>
      <c r="O804">
        <f>Table1[[#This Row],[TotalSales]]/Table1[[#This Row],[Quantity]]</f>
        <v>36766.551666666666</v>
      </c>
    </row>
    <row r="805" spans="1:15" x14ac:dyDescent="0.35">
      <c r="A805" t="s">
        <v>863</v>
      </c>
      <c r="B805" s="1">
        <v>45310</v>
      </c>
      <c r="C805" t="s">
        <v>46</v>
      </c>
      <c r="D805" t="s">
        <v>47</v>
      </c>
      <c r="E805" t="s">
        <v>22</v>
      </c>
      <c r="F805" t="s">
        <v>52</v>
      </c>
      <c r="G805" t="s">
        <v>69</v>
      </c>
      <c r="H805">
        <v>8</v>
      </c>
      <c r="I805">
        <v>28016.71</v>
      </c>
      <c r="J805" s="2">
        <v>0.15</v>
      </c>
      <c r="K805" t="s">
        <v>31</v>
      </c>
      <c r="L805">
        <v>190513.63</v>
      </c>
      <c r="M805" t="str">
        <f>TEXT(Table1[[#This Row],[OrderDate]], "mmm")</f>
        <v>Jan</v>
      </c>
      <c r="N805" t="str">
        <f>IF(Table1[[#This Row],[TotalSales]]&gt;50000,"High",IF(L805&gt;20000,"Medium","Low"))</f>
        <v>High</v>
      </c>
      <c r="O805">
        <f>Table1[[#This Row],[TotalSales]]/Table1[[#This Row],[Quantity]]</f>
        <v>23814.203750000001</v>
      </c>
    </row>
    <row r="806" spans="1:15" x14ac:dyDescent="0.35">
      <c r="A806" t="s">
        <v>864</v>
      </c>
      <c r="B806" s="1">
        <v>45603</v>
      </c>
      <c r="C806" t="s">
        <v>20</v>
      </c>
      <c r="D806" t="s">
        <v>21</v>
      </c>
      <c r="E806" t="s">
        <v>15</v>
      </c>
      <c r="F806" t="s">
        <v>16</v>
      </c>
      <c r="G806" t="s">
        <v>24</v>
      </c>
      <c r="H806">
        <v>14</v>
      </c>
      <c r="I806">
        <v>20990.48</v>
      </c>
      <c r="J806" s="2">
        <v>0.15</v>
      </c>
      <c r="K806" t="s">
        <v>25</v>
      </c>
      <c r="L806">
        <v>249786.71</v>
      </c>
      <c r="M806" t="str">
        <f>TEXT(Table1[[#This Row],[OrderDate]], "mmm")</f>
        <v>Nov</v>
      </c>
      <c r="N806" t="str">
        <f>IF(Table1[[#This Row],[TotalSales]]&gt;50000,"High",IF(L806&gt;20000,"Medium","Low"))</f>
        <v>High</v>
      </c>
      <c r="O806">
        <f>Table1[[#This Row],[TotalSales]]/Table1[[#This Row],[Quantity]]</f>
        <v>17841.907857142858</v>
      </c>
    </row>
    <row r="807" spans="1:15" x14ac:dyDescent="0.35">
      <c r="A807" t="s">
        <v>865</v>
      </c>
      <c r="B807" s="1">
        <v>45352</v>
      </c>
      <c r="C807" t="s">
        <v>46</v>
      </c>
      <c r="D807" t="s">
        <v>79</v>
      </c>
      <c r="E807" t="s">
        <v>34</v>
      </c>
      <c r="F807" t="s">
        <v>61</v>
      </c>
      <c r="G807" t="s">
        <v>17</v>
      </c>
      <c r="H807">
        <v>15</v>
      </c>
      <c r="I807">
        <v>33937.800000000003</v>
      </c>
      <c r="J807" s="2">
        <v>0</v>
      </c>
      <c r="K807" t="s">
        <v>31</v>
      </c>
      <c r="L807">
        <v>509067</v>
      </c>
      <c r="M807" t="str">
        <f>TEXT(Table1[[#This Row],[OrderDate]], "mmm")</f>
        <v>Mar</v>
      </c>
      <c r="N807" t="str">
        <f>IF(Table1[[#This Row],[TotalSales]]&gt;50000,"High",IF(L807&gt;20000,"Medium","Low"))</f>
        <v>High</v>
      </c>
      <c r="O807">
        <f>Table1[[#This Row],[TotalSales]]/Table1[[#This Row],[Quantity]]</f>
        <v>33937.800000000003</v>
      </c>
    </row>
    <row r="808" spans="1:15" x14ac:dyDescent="0.35">
      <c r="A808" t="s">
        <v>866</v>
      </c>
      <c r="B808" s="1">
        <v>45419</v>
      </c>
      <c r="C808" t="s">
        <v>46</v>
      </c>
      <c r="D808" t="s">
        <v>47</v>
      </c>
      <c r="E808" t="s">
        <v>22</v>
      </c>
      <c r="F808" t="s">
        <v>82</v>
      </c>
      <c r="G808" t="s">
        <v>69</v>
      </c>
      <c r="H808">
        <v>14</v>
      </c>
      <c r="I808">
        <v>3317.22</v>
      </c>
      <c r="J808" s="2">
        <v>0</v>
      </c>
      <c r="K808" t="s">
        <v>44</v>
      </c>
      <c r="L808">
        <v>46441.08</v>
      </c>
      <c r="M808" t="str">
        <f>TEXT(Table1[[#This Row],[OrderDate]], "mmm")</f>
        <v>May</v>
      </c>
      <c r="N808" t="str">
        <f>IF(Table1[[#This Row],[TotalSales]]&gt;50000,"High",IF(L808&gt;20000,"Medium","Low"))</f>
        <v>Medium</v>
      </c>
      <c r="O808">
        <f>Table1[[#This Row],[TotalSales]]/Table1[[#This Row],[Quantity]]</f>
        <v>3317.2200000000003</v>
      </c>
    </row>
    <row r="809" spans="1:15" x14ac:dyDescent="0.35">
      <c r="A809" t="s">
        <v>867</v>
      </c>
      <c r="B809" s="1">
        <v>45354</v>
      </c>
      <c r="C809" t="s">
        <v>40</v>
      </c>
      <c r="D809" t="s">
        <v>51</v>
      </c>
      <c r="E809" t="s">
        <v>22</v>
      </c>
      <c r="F809" t="s">
        <v>82</v>
      </c>
      <c r="G809" t="s">
        <v>69</v>
      </c>
      <c r="H809">
        <v>11</v>
      </c>
      <c r="I809">
        <v>4408.8500000000004</v>
      </c>
      <c r="J809" s="2">
        <v>0</v>
      </c>
      <c r="K809" t="s">
        <v>25</v>
      </c>
      <c r="L809">
        <v>48497.35</v>
      </c>
      <c r="M809" t="str">
        <f>TEXT(Table1[[#This Row],[OrderDate]], "mmm")</f>
        <v>Mar</v>
      </c>
      <c r="N809" t="str">
        <f>IF(Table1[[#This Row],[TotalSales]]&gt;50000,"High",IF(L809&gt;20000,"Medium","Low"))</f>
        <v>Medium</v>
      </c>
      <c r="O809">
        <f>Table1[[#This Row],[TotalSales]]/Table1[[#This Row],[Quantity]]</f>
        <v>4408.8499999999995</v>
      </c>
    </row>
    <row r="810" spans="1:15" x14ac:dyDescent="0.35">
      <c r="A810" t="s">
        <v>868</v>
      </c>
      <c r="B810" s="1">
        <v>45417</v>
      </c>
      <c r="C810" t="s">
        <v>13</v>
      </c>
      <c r="D810" t="s">
        <v>33</v>
      </c>
      <c r="E810" t="s">
        <v>28</v>
      </c>
      <c r="F810" t="s">
        <v>29</v>
      </c>
      <c r="G810" t="s">
        <v>30</v>
      </c>
      <c r="H810">
        <v>9</v>
      </c>
      <c r="I810">
        <v>49135.22</v>
      </c>
      <c r="J810" s="2">
        <v>0</v>
      </c>
      <c r="K810" t="s">
        <v>44</v>
      </c>
      <c r="L810">
        <v>442216.98</v>
      </c>
      <c r="M810" t="str">
        <f>TEXT(Table1[[#This Row],[OrderDate]], "mmm")</f>
        <v>May</v>
      </c>
      <c r="N810" t="str">
        <f>IF(Table1[[#This Row],[TotalSales]]&gt;50000,"High",IF(L810&gt;20000,"Medium","Low"))</f>
        <v>High</v>
      </c>
      <c r="O810">
        <f>Table1[[#This Row],[TotalSales]]/Table1[[#This Row],[Quantity]]</f>
        <v>49135.22</v>
      </c>
    </row>
    <row r="811" spans="1:15" x14ac:dyDescent="0.35">
      <c r="A811" t="s">
        <v>869</v>
      </c>
      <c r="B811" s="1">
        <v>45410</v>
      </c>
      <c r="C811" t="s">
        <v>20</v>
      </c>
      <c r="D811" t="s">
        <v>21</v>
      </c>
      <c r="E811" t="s">
        <v>15</v>
      </c>
      <c r="F811" t="s">
        <v>59</v>
      </c>
      <c r="G811" t="s">
        <v>69</v>
      </c>
      <c r="H811">
        <v>5</v>
      </c>
      <c r="I811">
        <v>40856.589999999997</v>
      </c>
      <c r="J811" s="2">
        <v>0</v>
      </c>
      <c r="K811" t="s">
        <v>25</v>
      </c>
      <c r="L811">
        <v>204282.95</v>
      </c>
      <c r="M811" t="str">
        <f>TEXT(Table1[[#This Row],[OrderDate]], "mmm")</f>
        <v>Apr</v>
      </c>
      <c r="N811" t="str">
        <f>IF(Table1[[#This Row],[TotalSales]]&gt;50000,"High",IF(L811&gt;20000,"Medium","Low"))</f>
        <v>High</v>
      </c>
      <c r="O811">
        <f>Table1[[#This Row],[TotalSales]]/Table1[[#This Row],[Quantity]]</f>
        <v>40856.590000000004</v>
      </c>
    </row>
    <row r="812" spans="1:15" x14ac:dyDescent="0.35">
      <c r="A812" t="s">
        <v>870</v>
      </c>
      <c r="B812" s="1">
        <v>45309</v>
      </c>
      <c r="C812" t="s">
        <v>46</v>
      </c>
      <c r="D812" t="s">
        <v>79</v>
      </c>
      <c r="E812" t="s">
        <v>34</v>
      </c>
      <c r="F812" t="s">
        <v>35</v>
      </c>
      <c r="G812" t="s">
        <v>66</v>
      </c>
      <c r="H812">
        <v>5</v>
      </c>
      <c r="I812">
        <v>15432.61</v>
      </c>
      <c r="J812" s="2">
        <v>0.05</v>
      </c>
      <c r="K812" t="s">
        <v>25</v>
      </c>
      <c r="L812">
        <v>73304.899999999994</v>
      </c>
      <c r="M812" t="str">
        <f>TEXT(Table1[[#This Row],[OrderDate]], "mmm")</f>
        <v>Jan</v>
      </c>
      <c r="N812" t="str">
        <f>IF(Table1[[#This Row],[TotalSales]]&gt;50000,"High",IF(L812&gt;20000,"Medium","Low"))</f>
        <v>High</v>
      </c>
      <c r="O812">
        <f>Table1[[#This Row],[TotalSales]]/Table1[[#This Row],[Quantity]]</f>
        <v>14660.98</v>
      </c>
    </row>
    <row r="813" spans="1:15" x14ac:dyDescent="0.35">
      <c r="A813" t="s">
        <v>871</v>
      </c>
      <c r="B813" s="1">
        <v>45314</v>
      </c>
      <c r="C813" t="s">
        <v>40</v>
      </c>
      <c r="D813" t="s">
        <v>41</v>
      </c>
      <c r="E813" t="s">
        <v>15</v>
      </c>
      <c r="F813" t="s">
        <v>38</v>
      </c>
      <c r="G813" t="s">
        <v>83</v>
      </c>
      <c r="H813">
        <v>4</v>
      </c>
      <c r="I813">
        <v>11474.01</v>
      </c>
      <c r="J813" s="2">
        <v>0</v>
      </c>
      <c r="K813" t="s">
        <v>31</v>
      </c>
      <c r="L813">
        <v>45896.04</v>
      </c>
      <c r="M813" t="str">
        <f>TEXT(Table1[[#This Row],[OrderDate]], "mmm")</f>
        <v>Jan</v>
      </c>
      <c r="N813" t="str">
        <f>IF(Table1[[#This Row],[TotalSales]]&gt;50000,"High",IF(L813&gt;20000,"Medium","Low"))</f>
        <v>Medium</v>
      </c>
      <c r="O813">
        <f>Table1[[#This Row],[TotalSales]]/Table1[[#This Row],[Quantity]]</f>
        <v>11474.01</v>
      </c>
    </row>
    <row r="814" spans="1:15" x14ac:dyDescent="0.35">
      <c r="A814" t="s">
        <v>872</v>
      </c>
      <c r="B814" s="1">
        <v>45466</v>
      </c>
      <c r="C814" t="s">
        <v>20</v>
      </c>
      <c r="D814" t="s">
        <v>27</v>
      </c>
      <c r="E814" t="s">
        <v>28</v>
      </c>
      <c r="F814" t="s">
        <v>29</v>
      </c>
      <c r="G814" t="s">
        <v>17</v>
      </c>
      <c r="H814">
        <v>12</v>
      </c>
      <c r="I814">
        <v>45642.32</v>
      </c>
      <c r="J814" s="2">
        <v>0.05</v>
      </c>
      <c r="K814" t="s">
        <v>25</v>
      </c>
      <c r="L814">
        <v>520322.45</v>
      </c>
      <c r="M814" t="str">
        <f>TEXT(Table1[[#This Row],[OrderDate]], "mmm")</f>
        <v>Jun</v>
      </c>
      <c r="N814" t="str">
        <f>IF(Table1[[#This Row],[TotalSales]]&gt;50000,"High",IF(L814&gt;20000,"Medium","Low"))</f>
        <v>High</v>
      </c>
      <c r="O814">
        <f>Table1[[#This Row],[TotalSales]]/Table1[[#This Row],[Quantity]]</f>
        <v>43360.20416666667</v>
      </c>
    </row>
    <row r="815" spans="1:15" x14ac:dyDescent="0.35">
      <c r="A815" t="s">
        <v>873</v>
      </c>
      <c r="B815" s="1">
        <v>45582</v>
      </c>
      <c r="C815" t="s">
        <v>40</v>
      </c>
      <c r="D815" t="s">
        <v>51</v>
      </c>
      <c r="E815" t="s">
        <v>28</v>
      </c>
      <c r="F815" t="s">
        <v>104</v>
      </c>
      <c r="G815" t="s">
        <v>43</v>
      </c>
      <c r="H815">
        <v>13</v>
      </c>
      <c r="I815">
        <v>28636.42</v>
      </c>
      <c r="J815" s="2">
        <v>0</v>
      </c>
      <c r="K815" t="s">
        <v>44</v>
      </c>
      <c r="L815">
        <v>372273.46</v>
      </c>
      <c r="M815" t="str">
        <f>TEXT(Table1[[#This Row],[OrderDate]], "mmm")</f>
        <v>Oct</v>
      </c>
      <c r="N815" t="str">
        <f>IF(Table1[[#This Row],[TotalSales]]&gt;50000,"High",IF(L815&gt;20000,"Medium","Low"))</f>
        <v>High</v>
      </c>
      <c r="O815">
        <f>Table1[[#This Row],[TotalSales]]/Table1[[#This Row],[Quantity]]</f>
        <v>28636.420000000002</v>
      </c>
    </row>
    <row r="816" spans="1:15" x14ac:dyDescent="0.35">
      <c r="A816" t="s">
        <v>874</v>
      </c>
      <c r="B816" s="1">
        <v>45443</v>
      </c>
      <c r="C816" t="s">
        <v>20</v>
      </c>
      <c r="D816" t="s">
        <v>21</v>
      </c>
      <c r="E816" t="s">
        <v>28</v>
      </c>
      <c r="F816" t="s">
        <v>76</v>
      </c>
      <c r="G816" t="s">
        <v>43</v>
      </c>
      <c r="H816">
        <v>6</v>
      </c>
      <c r="I816">
        <v>31495.33</v>
      </c>
      <c r="J816" s="2">
        <v>0</v>
      </c>
      <c r="K816" t="s">
        <v>31</v>
      </c>
      <c r="L816">
        <v>188971.98</v>
      </c>
      <c r="M816" t="str">
        <f>TEXT(Table1[[#This Row],[OrderDate]], "mmm")</f>
        <v>May</v>
      </c>
      <c r="N816" t="str">
        <f>IF(Table1[[#This Row],[TotalSales]]&gt;50000,"High",IF(L816&gt;20000,"Medium","Low"))</f>
        <v>High</v>
      </c>
      <c r="O816">
        <f>Table1[[#This Row],[TotalSales]]/Table1[[#This Row],[Quantity]]</f>
        <v>31495.33</v>
      </c>
    </row>
    <row r="817" spans="1:15" x14ac:dyDescent="0.35">
      <c r="A817" t="s">
        <v>875</v>
      </c>
      <c r="B817" s="1">
        <v>45519</v>
      </c>
      <c r="C817" t="s">
        <v>13</v>
      </c>
      <c r="D817" t="s">
        <v>14</v>
      </c>
      <c r="E817" t="s">
        <v>28</v>
      </c>
      <c r="F817" t="s">
        <v>29</v>
      </c>
      <c r="G817" t="s">
        <v>69</v>
      </c>
      <c r="H817">
        <v>8</v>
      </c>
      <c r="I817">
        <v>1146.21</v>
      </c>
      <c r="J817" s="2">
        <v>0</v>
      </c>
      <c r="K817" t="s">
        <v>25</v>
      </c>
      <c r="L817">
        <v>9169.68</v>
      </c>
      <c r="M817" t="str">
        <f>TEXT(Table1[[#This Row],[OrderDate]], "mmm")</f>
        <v>Aug</v>
      </c>
      <c r="N817" t="str">
        <f>IF(Table1[[#This Row],[TotalSales]]&gt;50000,"High",IF(L817&gt;20000,"Medium","Low"))</f>
        <v>Low</v>
      </c>
      <c r="O817">
        <f>Table1[[#This Row],[TotalSales]]/Table1[[#This Row],[Quantity]]</f>
        <v>1146.21</v>
      </c>
    </row>
    <row r="818" spans="1:15" x14ac:dyDescent="0.35">
      <c r="A818" t="s">
        <v>876</v>
      </c>
      <c r="B818" s="1">
        <v>45574</v>
      </c>
      <c r="C818" t="s">
        <v>13</v>
      </c>
      <c r="D818" t="s">
        <v>33</v>
      </c>
      <c r="E818" t="s">
        <v>15</v>
      </c>
      <c r="F818" t="s">
        <v>16</v>
      </c>
      <c r="G818" t="s">
        <v>24</v>
      </c>
      <c r="H818">
        <v>6</v>
      </c>
      <c r="I818">
        <v>52440.47</v>
      </c>
      <c r="J818" s="2">
        <v>0.05</v>
      </c>
      <c r="K818" t="s">
        <v>18</v>
      </c>
      <c r="L818">
        <v>298910.68</v>
      </c>
      <c r="M818" t="str">
        <f>TEXT(Table1[[#This Row],[OrderDate]], "mmm")</f>
        <v>Oct</v>
      </c>
      <c r="N818" t="str">
        <f>IF(Table1[[#This Row],[TotalSales]]&gt;50000,"High",IF(L818&gt;20000,"Medium","Low"))</f>
        <v>High</v>
      </c>
      <c r="O818">
        <f>Table1[[#This Row],[TotalSales]]/Table1[[#This Row],[Quantity]]</f>
        <v>49818.446666666663</v>
      </c>
    </row>
    <row r="819" spans="1:15" x14ac:dyDescent="0.35">
      <c r="A819" t="s">
        <v>877</v>
      </c>
      <c r="B819" s="1">
        <v>45350</v>
      </c>
      <c r="C819" t="s">
        <v>46</v>
      </c>
      <c r="D819" t="s">
        <v>47</v>
      </c>
      <c r="E819" t="s">
        <v>22</v>
      </c>
      <c r="F819" t="s">
        <v>42</v>
      </c>
      <c r="G819" t="s">
        <v>69</v>
      </c>
      <c r="H819">
        <v>11</v>
      </c>
      <c r="I819">
        <v>2309.9</v>
      </c>
      <c r="J819" s="2">
        <v>0.15</v>
      </c>
      <c r="K819" t="s">
        <v>31</v>
      </c>
      <c r="L819">
        <v>21597.57</v>
      </c>
      <c r="M819" t="str">
        <f>TEXT(Table1[[#This Row],[OrderDate]], "mmm")</f>
        <v>Feb</v>
      </c>
      <c r="N819" t="str">
        <f>IF(Table1[[#This Row],[TotalSales]]&gt;50000,"High",IF(L819&gt;20000,"Medium","Low"))</f>
        <v>Medium</v>
      </c>
      <c r="O819">
        <f>Table1[[#This Row],[TotalSales]]/Table1[[#This Row],[Quantity]]</f>
        <v>1963.4154545454546</v>
      </c>
    </row>
    <row r="820" spans="1:15" x14ac:dyDescent="0.35">
      <c r="A820" t="s">
        <v>878</v>
      </c>
      <c r="B820" s="1">
        <v>45472</v>
      </c>
      <c r="C820" t="s">
        <v>46</v>
      </c>
      <c r="D820" t="s">
        <v>71</v>
      </c>
      <c r="E820" t="s">
        <v>28</v>
      </c>
      <c r="F820" t="s">
        <v>29</v>
      </c>
      <c r="G820" t="s">
        <v>17</v>
      </c>
      <c r="H820">
        <v>9</v>
      </c>
      <c r="I820">
        <v>39563.9</v>
      </c>
      <c r="J820" s="2">
        <v>0.1</v>
      </c>
      <c r="K820" t="s">
        <v>18</v>
      </c>
      <c r="L820">
        <v>320467.59000000003</v>
      </c>
      <c r="M820" t="str">
        <f>TEXT(Table1[[#This Row],[OrderDate]], "mmm")</f>
        <v>Jun</v>
      </c>
      <c r="N820" t="str">
        <f>IF(Table1[[#This Row],[TotalSales]]&gt;50000,"High",IF(L820&gt;20000,"Medium","Low"))</f>
        <v>High</v>
      </c>
      <c r="O820">
        <f>Table1[[#This Row],[TotalSales]]/Table1[[#This Row],[Quantity]]</f>
        <v>35607.51</v>
      </c>
    </row>
    <row r="821" spans="1:15" x14ac:dyDescent="0.35">
      <c r="A821" t="s">
        <v>879</v>
      </c>
      <c r="B821" s="1">
        <v>45504</v>
      </c>
      <c r="C821" t="s">
        <v>13</v>
      </c>
      <c r="D821" t="s">
        <v>33</v>
      </c>
      <c r="E821" t="s">
        <v>22</v>
      </c>
      <c r="F821" t="s">
        <v>52</v>
      </c>
      <c r="G821" t="s">
        <v>66</v>
      </c>
      <c r="H821">
        <v>2</v>
      </c>
      <c r="I821">
        <v>35375.410000000003</v>
      </c>
      <c r="J821" s="2">
        <v>0</v>
      </c>
      <c r="K821" t="s">
        <v>44</v>
      </c>
      <c r="L821">
        <v>70750.820000000007</v>
      </c>
      <c r="M821" t="str">
        <f>TEXT(Table1[[#This Row],[OrderDate]], "mmm")</f>
        <v>Jul</v>
      </c>
      <c r="N821" t="str">
        <f>IF(Table1[[#This Row],[TotalSales]]&gt;50000,"High",IF(L821&gt;20000,"Medium","Low"))</f>
        <v>High</v>
      </c>
      <c r="O821">
        <f>Table1[[#This Row],[TotalSales]]/Table1[[#This Row],[Quantity]]</f>
        <v>35375.410000000003</v>
      </c>
    </row>
    <row r="822" spans="1:15" x14ac:dyDescent="0.35">
      <c r="A822" t="s">
        <v>880</v>
      </c>
      <c r="B822" s="1">
        <v>45480</v>
      </c>
      <c r="C822" t="s">
        <v>46</v>
      </c>
      <c r="D822" t="s">
        <v>47</v>
      </c>
      <c r="E822" t="s">
        <v>34</v>
      </c>
      <c r="F822" t="s">
        <v>48</v>
      </c>
      <c r="G822" t="s">
        <v>83</v>
      </c>
      <c r="H822">
        <v>1</v>
      </c>
      <c r="I822">
        <v>16139.82</v>
      </c>
      <c r="J822" s="2">
        <v>0</v>
      </c>
      <c r="K822" t="s">
        <v>18</v>
      </c>
      <c r="L822">
        <v>16139.82</v>
      </c>
      <c r="M822" t="str">
        <f>TEXT(Table1[[#This Row],[OrderDate]], "mmm")</f>
        <v>Jul</v>
      </c>
      <c r="N822" t="str">
        <f>IF(Table1[[#This Row],[TotalSales]]&gt;50000,"High",IF(L822&gt;20000,"Medium","Low"))</f>
        <v>Low</v>
      </c>
      <c r="O822">
        <f>Table1[[#This Row],[TotalSales]]/Table1[[#This Row],[Quantity]]</f>
        <v>16139.82</v>
      </c>
    </row>
    <row r="823" spans="1:15" x14ac:dyDescent="0.35">
      <c r="A823" t="s">
        <v>881</v>
      </c>
      <c r="B823" s="1">
        <v>45624</v>
      </c>
      <c r="C823" t="s">
        <v>20</v>
      </c>
      <c r="D823" t="s">
        <v>97</v>
      </c>
      <c r="E823" t="s">
        <v>34</v>
      </c>
      <c r="F823" t="s">
        <v>35</v>
      </c>
      <c r="G823" t="s">
        <v>17</v>
      </c>
      <c r="H823">
        <v>2</v>
      </c>
      <c r="I823">
        <v>52543.83</v>
      </c>
      <c r="J823" s="2">
        <v>0</v>
      </c>
      <c r="K823" t="s">
        <v>31</v>
      </c>
      <c r="L823">
        <v>105087.66</v>
      </c>
      <c r="M823" t="str">
        <f>TEXT(Table1[[#This Row],[OrderDate]], "mmm")</f>
        <v>Nov</v>
      </c>
      <c r="N823" t="str">
        <f>IF(Table1[[#This Row],[TotalSales]]&gt;50000,"High",IF(L823&gt;20000,"Medium","Low"))</f>
        <v>High</v>
      </c>
      <c r="O823">
        <f>Table1[[#This Row],[TotalSales]]/Table1[[#This Row],[Quantity]]</f>
        <v>52543.83</v>
      </c>
    </row>
    <row r="824" spans="1:15" x14ac:dyDescent="0.35">
      <c r="A824" t="s">
        <v>882</v>
      </c>
      <c r="B824" s="1">
        <v>45391</v>
      </c>
      <c r="C824" t="s">
        <v>13</v>
      </c>
      <c r="D824" t="s">
        <v>37</v>
      </c>
      <c r="E824" t="s">
        <v>34</v>
      </c>
      <c r="F824" t="s">
        <v>88</v>
      </c>
      <c r="G824" t="s">
        <v>83</v>
      </c>
      <c r="H824">
        <v>14</v>
      </c>
      <c r="I824">
        <v>31723.360000000001</v>
      </c>
      <c r="J824" s="2">
        <v>0</v>
      </c>
      <c r="K824" t="s">
        <v>31</v>
      </c>
      <c r="L824">
        <v>444127.04</v>
      </c>
      <c r="M824" t="str">
        <f>TEXT(Table1[[#This Row],[OrderDate]], "mmm")</f>
        <v>Apr</v>
      </c>
      <c r="N824" t="str">
        <f>IF(Table1[[#This Row],[TotalSales]]&gt;50000,"High",IF(L824&gt;20000,"Medium","Low"))</f>
        <v>High</v>
      </c>
      <c r="O824">
        <f>Table1[[#This Row],[TotalSales]]/Table1[[#This Row],[Quantity]]</f>
        <v>31723.359999999997</v>
      </c>
    </row>
    <row r="825" spans="1:15" x14ac:dyDescent="0.35">
      <c r="A825" t="s">
        <v>883</v>
      </c>
      <c r="B825" s="1">
        <v>45332</v>
      </c>
      <c r="C825" t="s">
        <v>40</v>
      </c>
      <c r="D825" t="s">
        <v>41</v>
      </c>
      <c r="E825" t="s">
        <v>22</v>
      </c>
      <c r="F825" t="s">
        <v>82</v>
      </c>
      <c r="G825" t="s">
        <v>66</v>
      </c>
      <c r="H825">
        <v>6</v>
      </c>
      <c r="I825">
        <v>30913.05</v>
      </c>
      <c r="J825" s="2">
        <v>0</v>
      </c>
      <c r="K825" t="s">
        <v>18</v>
      </c>
      <c r="L825">
        <v>185478.3</v>
      </c>
      <c r="M825" t="str">
        <f>TEXT(Table1[[#This Row],[OrderDate]], "mmm")</f>
        <v>Feb</v>
      </c>
      <c r="N825" t="str">
        <f>IF(Table1[[#This Row],[TotalSales]]&gt;50000,"High",IF(L825&gt;20000,"Medium","Low"))</f>
        <v>High</v>
      </c>
      <c r="O825">
        <f>Table1[[#This Row],[TotalSales]]/Table1[[#This Row],[Quantity]]</f>
        <v>30913.05</v>
      </c>
    </row>
    <row r="826" spans="1:15" x14ac:dyDescent="0.35">
      <c r="A826" t="s">
        <v>884</v>
      </c>
      <c r="B826" s="1">
        <v>45591</v>
      </c>
      <c r="C826" t="s">
        <v>40</v>
      </c>
      <c r="D826" t="s">
        <v>51</v>
      </c>
      <c r="E826" t="s">
        <v>22</v>
      </c>
      <c r="F826" t="s">
        <v>42</v>
      </c>
      <c r="G826" t="s">
        <v>24</v>
      </c>
      <c r="H826">
        <v>11</v>
      </c>
      <c r="I826">
        <v>7770.08</v>
      </c>
      <c r="J826" s="2">
        <v>0</v>
      </c>
      <c r="K826" t="s">
        <v>25</v>
      </c>
      <c r="L826">
        <v>85470.88</v>
      </c>
      <c r="M826" t="str">
        <f>TEXT(Table1[[#This Row],[OrderDate]], "mmm")</f>
        <v>Oct</v>
      </c>
      <c r="N826" t="str">
        <f>IF(Table1[[#This Row],[TotalSales]]&gt;50000,"High",IF(L826&gt;20000,"Medium","Low"))</f>
        <v>High</v>
      </c>
      <c r="O826">
        <f>Table1[[#This Row],[TotalSales]]/Table1[[#This Row],[Quantity]]</f>
        <v>7770.0800000000008</v>
      </c>
    </row>
    <row r="827" spans="1:15" x14ac:dyDescent="0.35">
      <c r="A827" t="s">
        <v>885</v>
      </c>
      <c r="B827" s="1">
        <v>45377</v>
      </c>
      <c r="C827" t="s">
        <v>40</v>
      </c>
      <c r="D827" t="s">
        <v>55</v>
      </c>
      <c r="E827" t="s">
        <v>22</v>
      </c>
      <c r="F827" t="s">
        <v>42</v>
      </c>
      <c r="G827" t="s">
        <v>43</v>
      </c>
      <c r="H827">
        <v>2</v>
      </c>
      <c r="I827">
        <v>23140.68</v>
      </c>
      <c r="J827" s="2">
        <v>0.2</v>
      </c>
      <c r="K827" t="s">
        <v>25</v>
      </c>
      <c r="L827">
        <v>37025.089999999997</v>
      </c>
      <c r="M827" t="str">
        <f>TEXT(Table1[[#This Row],[OrderDate]], "mmm")</f>
        <v>Mar</v>
      </c>
      <c r="N827" t="str">
        <f>IF(Table1[[#This Row],[TotalSales]]&gt;50000,"High",IF(L827&gt;20000,"Medium","Low"))</f>
        <v>Medium</v>
      </c>
      <c r="O827">
        <f>Table1[[#This Row],[TotalSales]]/Table1[[#This Row],[Quantity]]</f>
        <v>18512.544999999998</v>
      </c>
    </row>
    <row r="828" spans="1:15" x14ac:dyDescent="0.35">
      <c r="A828" t="s">
        <v>886</v>
      </c>
      <c r="B828" s="1">
        <v>45555</v>
      </c>
      <c r="C828" t="s">
        <v>46</v>
      </c>
      <c r="D828" t="s">
        <v>47</v>
      </c>
      <c r="E828" t="s">
        <v>15</v>
      </c>
      <c r="F828" t="s">
        <v>59</v>
      </c>
      <c r="G828" t="s">
        <v>49</v>
      </c>
      <c r="H828">
        <v>14</v>
      </c>
      <c r="I828">
        <v>29206.17</v>
      </c>
      <c r="J828" s="2">
        <v>0.05</v>
      </c>
      <c r="K828" t="s">
        <v>31</v>
      </c>
      <c r="L828">
        <v>388442.06</v>
      </c>
      <c r="M828" t="str">
        <f>TEXT(Table1[[#This Row],[OrderDate]], "mmm")</f>
        <v>Sep</v>
      </c>
      <c r="N828" t="str">
        <f>IF(Table1[[#This Row],[TotalSales]]&gt;50000,"High",IF(L828&gt;20000,"Medium","Low"))</f>
        <v>High</v>
      </c>
      <c r="O828">
        <f>Table1[[#This Row],[TotalSales]]/Table1[[#This Row],[Quantity]]</f>
        <v>27745.861428571428</v>
      </c>
    </row>
    <row r="829" spans="1:15" x14ac:dyDescent="0.35">
      <c r="A829" t="s">
        <v>887</v>
      </c>
      <c r="B829" s="1">
        <v>45315</v>
      </c>
      <c r="C829" t="s">
        <v>46</v>
      </c>
      <c r="D829" t="s">
        <v>71</v>
      </c>
      <c r="E829" t="s">
        <v>28</v>
      </c>
      <c r="F829" t="s">
        <v>29</v>
      </c>
      <c r="G829" t="s">
        <v>66</v>
      </c>
      <c r="H829">
        <v>2</v>
      </c>
      <c r="I829">
        <v>40683.410000000003</v>
      </c>
      <c r="J829" s="2">
        <v>0</v>
      </c>
      <c r="K829" t="s">
        <v>44</v>
      </c>
      <c r="L829">
        <v>81366.820000000007</v>
      </c>
      <c r="M829" t="str">
        <f>TEXT(Table1[[#This Row],[OrderDate]], "mmm")</f>
        <v>Jan</v>
      </c>
      <c r="N829" t="str">
        <f>IF(Table1[[#This Row],[TotalSales]]&gt;50000,"High",IF(L829&gt;20000,"Medium","Low"))</f>
        <v>High</v>
      </c>
      <c r="O829">
        <f>Table1[[#This Row],[TotalSales]]/Table1[[#This Row],[Quantity]]</f>
        <v>40683.410000000003</v>
      </c>
    </row>
    <row r="830" spans="1:15" x14ac:dyDescent="0.35">
      <c r="A830" t="s">
        <v>888</v>
      </c>
      <c r="B830" s="1">
        <v>45593</v>
      </c>
      <c r="C830" t="s">
        <v>20</v>
      </c>
      <c r="D830" t="s">
        <v>21</v>
      </c>
      <c r="E830" t="s">
        <v>34</v>
      </c>
      <c r="F830" t="s">
        <v>61</v>
      </c>
      <c r="G830" t="s">
        <v>30</v>
      </c>
      <c r="H830">
        <v>15</v>
      </c>
      <c r="I830">
        <v>45141.81</v>
      </c>
      <c r="J830" s="2">
        <v>0.1</v>
      </c>
      <c r="K830" t="s">
        <v>25</v>
      </c>
      <c r="L830">
        <v>609414.43000000005</v>
      </c>
      <c r="M830" t="str">
        <f>TEXT(Table1[[#This Row],[OrderDate]], "mmm")</f>
        <v>Oct</v>
      </c>
      <c r="N830" t="str">
        <f>IF(Table1[[#This Row],[TotalSales]]&gt;50000,"High",IF(L830&gt;20000,"Medium","Low"))</f>
        <v>High</v>
      </c>
      <c r="O830">
        <f>Table1[[#This Row],[TotalSales]]/Table1[[#This Row],[Quantity]]</f>
        <v>40627.628666666671</v>
      </c>
    </row>
    <row r="831" spans="1:15" x14ac:dyDescent="0.35">
      <c r="A831" t="s">
        <v>889</v>
      </c>
      <c r="B831" s="1">
        <v>45593</v>
      </c>
      <c r="C831" t="s">
        <v>20</v>
      </c>
      <c r="D831" t="s">
        <v>21</v>
      </c>
      <c r="E831" t="s">
        <v>28</v>
      </c>
      <c r="F831" t="s">
        <v>104</v>
      </c>
      <c r="G831" t="s">
        <v>66</v>
      </c>
      <c r="H831">
        <v>5</v>
      </c>
      <c r="I831">
        <v>51973.29</v>
      </c>
      <c r="J831" s="2">
        <v>0</v>
      </c>
      <c r="K831" t="s">
        <v>44</v>
      </c>
      <c r="L831">
        <v>259866.45</v>
      </c>
      <c r="M831" t="str">
        <f>TEXT(Table1[[#This Row],[OrderDate]], "mmm")</f>
        <v>Oct</v>
      </c>
      <c r="N831" t="str">
        <f>IF(Table1[[#This Row],[TotalSales]]&gt;50000,"High",IF(L831&gt;20000,"Medium","Low"))</f>
        <v>High</v>
      </c>
      <c r="O831">
        <f>Table1[[#This Row],[TotalSales]]/Table1[[#This Row],[Quantity]]</f>
        <v>51973.29</v>
      </c>
    </row>
    <row r="832" spans="1:15" x14ac:dyDescent="0.35">
      <c r="A832" t="s">
        <v>890</v>
      </c>
      <c r="B832" s="1">
        <v>45365</v>
      </c>
      <c r="C832" t="s">
        <v>13</v>
      </c>
      <c r="D832" t="s">
        <v>14</v>
      </c>
      <c r="E832" t="s">
        <v>28</v>
      </c>
      <c r="F832" t="s">
        <v>104</v>
      </c>
      <c r="G832" t="s">
        <v>83</v>
      </c>
      <c r="H832">
        <v>1</v>
      </c>
      <c r="I832">
        <v>44806.5</v>
      </c>
      <c r="J832" s="2">
        <v>0.15</v>
      </c>
      <c r="K832" t="s">
        <v>31</v>
      </c>
      <c r="L832">
        <v>38085.53</v>
      </c>
      <c r="M832" t="str">
        <f>TEXT(Table1[[#This Row],[OrderDate]], "mmm")</f>
        <v>Mar</v>
      </c>
      <c r="N832" t="str">
        <f>IF(Table1[[#This Row],[TotalSales]]&gt;50000,"High",IF(L832&gt;20000,"Medium","Low"))</f>
        <v>Medium</v>
      </c>
      <c r="O832">
        <f>Table1[[#This Row],[TotalSales]]/Table1[[#This Row],[Quantity]]</f>
        <v>38085.53</v>
      </c>
    </row>
    <row r="833" spans="1:15" x14ac:dyDescent="0.35">
      <c r="A833" t="s">
        <v>891</v>
      </c>
      <c r="B833" s="1">
        <v>45439</v>
      </c>
      <c r="C833" t="s">
        <v>20</v>
      </c>
      <c r="D833" t="s">
        <v>27</v>
      </c>
      <c r="E833" t="s">
        <v>28</v>
      </c>
      <c r="F833" t="s">
        <v>29</v>
      </c>
      <c r="G833" t="s">
        <v>17</v>
      </c>
      <c r="H833">
        <v>5</v>
      </c>
      <c r="I833">
        <v>26867.64</v>
      </c>
      <c r="J833" s="2">
        <v>0</v>
      </c>
      <c r="K833" t="s">
        <v>18</v>
      </c>
      <c r="L833">
        <v>134338.20000000001</v>
      </c>
      <c r="M833" t="str">
        <f>TEXT(Table1[[#This Row],[OrderDate]], "mmm")</f>
        <v>May</v>
      </c>
      <c r="N833" t="str">
        <f>IF(Table1[[#This Row],[TotalSales]]&gt;50000,"High",IF(L833&gt;20000,"Medium","Low"))</f>
        <v>High</v>
      </c>
      <c r="O833">
        <f>Table1[[#This Row],[TotalSales]]/Table1[[#This Row],[Quantity]]</f>
        <v>26867.640000000003</v>
      </c>
    </row>
    <row r="834" spans="1:15" x14ac:dyDescent="0.35">
      <c r="A834" t="s">
        <v>892</v>
      </c>
      <c r="B834" s="1">
        <v>45574</v>
      </c>
      <c r="C834" t="s">
        <v>46</v>
      </c>
      <c r="D834" t="s">
        <v>47</v>
      </c>
      <c r="E834" t="s">
        <v>28</v>
      </c>
      <c r="F834" t="s">
        <v>125</v>
      </c>
      <c r="G834" t="s">
        <v>69</v>
      </c>
      <c r="H834">
        <v>14</v>
      </c>
      <c r="I834">
        <v>28076.66</v>
      </c>
      <c r="J834" s="2">
        <v>0</v>
      </c>
      <c r="K834" t="s">
        <v>31</v>
      </c>
      <c r="L834">
        <v>393073.24</v>
      </c>
      <c r="M834" t="str">
        <f>TEXT(Table1[[#This Row],[OrderDate]], "mmm")</f>
        <v>Oct</v>
      </c>
      <c r="N834" t="str">
        <f>IF(Table1[[#This Row],[TotalSales]]&gt;50000,"High",IF(L834&gt;20000,"Medium","Low"))</f>
        <v>High</v>
      </c>
      <c r="O834">
        <f>Table1[[#This Row],[TotalSales]]/Table1[[#This Row],[Quantity]]</f>
        <v>28076.66</v>
      </c>
    </row>
    <row r="835" spans="1:15" x14ac:dyDescent="0.35">
      <c r="A835" t="s">
        <v>893</v>
      </c>
      <c r="B835" s="1">
        <v>45436</v>
      </c>
      <c r="C835" t="s">
        <v>13</v>
      </c>
      <c r="D835" t="s">
        <v>14</v>
      </c>
      <c r="E835" t="s">
        <v>34</v>
      </c>
      <c r="F835" t="s">
        <v>35</v>
      </c>
      <c r="G835" t="s">
        <v>17</v>
      </c>
      <c r="H835">
        <v>10</v>
      </c>
      <c r="I835">
        <v>23572.34</v>
      </c>
      <c r="J835" s="2">
        <v>0.05</v>
      </c>
      <c r="K835" t="s">
        <v>25</v>
      </c>
      <c r="L835">
        <v>223937.23</v>
      </c>
      <c r="M835" t="str">
        <f>TEXT(Table1[[#This Row],[OrderDate]], "mmm")</f>
        <v>May</v>
      </c>
      <c r="N835" t="str">
        <f>IF(Table1[[#This Row],[TotalSales]]&gt;50000,"High",IF(L835&gt;20000,"Medium","Low"))</f>
        <v>High</v>
      </c>
      <c r="O835">
        <f>Table1[[#This Row],[TotalSales]]/Table1[[#This Row],[Quantity]]</f>
        <v>22393.723000000002</v>
      </c>
    </row>
    <row r="836" spans="1:15" x14ac:dyDescent="0.35">
      <c r="A836" t="s">
        <v>894</v>
      </c>
      <c r="B836" s="1">
        <v>45362</v>
      </c>
      <c r="C836" t="s">
        <v>13</v>
      </c>
      <c r="D836" t="s">
        <v>14</v>
      </c>
      <c r="E836" t="s">
        <v>34</v>
      </c>
      <c r="F836" t="s">
        <v>88</v>
      </c>
      <c r="G836" t="s">
        <v>17</v>
      </c>
      <c r="H836">
        <v>5</v>
      </c>
      <c r="I836">
        <v>40293.53</v>
      </c>
      <c r="J836" s="2">
        <v>0</v>
      </c>
      <c r="K836" t="s">
        <v>44</v>
      </c>
      <c r="L836">
        <v>201467.65</v>
      </c>
      <c r="M836" t="str">
        <f>TEXT(Table1[[#This Row],[OrderDate]], "mmm")</f>
        <v>Mar</v>
      </c>
      <c r="N836" t="str">
        <f>IF(Table1[[#This Row],[TotalSales]]&gt;50000,"High",IF(L836&gt;20000,"Medium","Low"))</f>
        <v>High</v>
      </c>
      <c r="O836">
        <f>Table1[[#This Row],[TotalSales]]/Table1[[#This Row],[Quantity]]</f>
        <v>40293.53</v>
      </c>
    </row>
    <row r="837" spans="1:15" x14ac:dyDescent="0.35">
      <c r="A837" t="s">
        <v>895</v>
      </c>
      <c r="B837" s="1">
        <v>45614</v>
      </c>
      <c r="C837" t="s">
        <v>13</v>
      </c>
      <c r="D837" t="s">
        <v>37</v>
      </c>
      <c r="E837" t="s">
        <v>22</v>
      </c>
      <c r="F837" t="s">
        <v>52</v>
      </c>
      <c r="G837" t="s">
        <v>17</v>
      </c>
      <c r="H837">
        <v>12</v>
      </c>
      <c r="I837">
        <v>28303.86</v>
      </c>
      <c r="J837" s="2">
        <v>0.2</v>
      </c>
      <c r="K837" t="s">
        <v>44</v>
      </c>
      <c r="L837">
        <v>271717.06</v>
      </c>
      <c r="M837" t="str">
        <f>TEXT(Table1[[#This Row],[OrderDate]], "mmm")</f>
        <v>Nov</v>
      </c>
      <c r="N837" t="str">
        <f>IF(Table1[[#This Row],[TotalSales]]&gt;50000,"High",IF(L837&gt;20000,"Medium","Low"))</f>
        <v>High</v>
      </c>
      <c r="O837">
        <f>Table1[[#This Row],[TotalSales]]/Table1[[#This Row],[Quantity]]</f>
        <v>22643.088333333333</v>
      </c>
    </row>
    <row r="838" spans="1:15" x14ac:dyDescent="0.35">
      <c r="A838" t="s">
        <v>896</v>
      </c>
      <c r="B838" s="1">
        <v>45362</v>
      </c>
      <c r="C838" t="s">
        <v>46</v>
      </c>
      <c r="D838" t="s">
        <v>47</v>
      </c>
      <c r="E838" t="s">
        <v>22</v>
      </c>
      <c r="F838" t="s">
        <v>23</v>
      </c>
      <c r="G838" t="s">
        <v>30</v>
      </c>
      <c r="H838">
        <v>10</v>
      </c>
      <c r="I838">
        <v>20816.259999999998</v>
      </c>
      <c r="J838" s="2">
        <v>0</v>
      </c>
      <c r="K838" t="s">
        <v>44</v>
      </c>
      <c r="L838">
        <v>208162.6</v>
      </c>
      <c r="M838" t="str">
        <f>TEXT(Table1[[#This Row],[OrderDate]], "mmm")</f>
        <v>Mar</v>
      </c>
      <c r="N838" t="str">
        <f>IF(Table1[[#This Row],[TotalSales]]&gt;50000,"High",IF(L838&gt;20000,"Medium","Low"))</f>
        <v>High</v>
      </c>
      <c r="O838">
        <f>Table1[[#This Row],[TotalSales]]/Table1[[#This Row],[Quantity]]</f>
        <v>20816.260000000002</v>
      </c>
    </row>
    <row r="839" spans="1:15" x14ac:dyDescent="0.35">
      <c r="A839" t="s">
        <v>897</v>
      </c>
      <c r="B839" s="1">
        <v>45401</v>
      </c>
      <c r="C839" t="s">
        <v>46</v>
      </c>
      <c r="D839" t="s">
        <v>71</v>
      </c>
      <c r="E839" t="s">
        <v>22</v>
      </c>
      <c r="F839" t="s">
        <v>42</v>
      </c>
      <c r="G839" t="s">
        <v>49</v>
      </c>
      <c r="H839">
        <v>1</v>
      </c>
      <c r="I839">
        <v>24000.67</v>
      </c>
      <c r="J839" s="2">
        <v>0.05</v>
      </c>
      <c r="K839" t="s">
        <v>25</v>
      </c>
      <c r="L839">
        <v>22800.639999999999</v>
      </c>
      <c r="M839" t="str">
        <f>TEXT(Table1[[#This Row],[OrderDate]], "mmm")</f>
        <v>Apr</v>
      </c>
      <c r="N839" t="str">
        <f>IF(Table1[[#This Row],[TotalSales]]&gt;50000,"High",IF(L839&gt;20000,"Medium","Low"))</f>
        <v>Medium</v>
      </c>
      <c r="O839">
        <f>Table1[[#This Row],[TotalSales]]/Table1[[#This Row],[Quantity]]</f>
        <v>22800.639999999999</v>
      </c>
    </row>
    <row r="840" spans="1:15" x14ac:dyDescent="0.35">
      <c r="A840" t="s">
        <v>898</v>
      </c>
      <c r="B840" s="1">
        <v>45628</v>
      </c>
      <c r="C840" t="s">
        <v>40</v>
      </c>
      <c r="D840" t="s">
        <v>51</v>
      </c>
      <c r="E840" t="s">
        <v>22</v>
      </c>
      <c r="F840" t="s">
        <v>52</v>
      </c>
      <c r="G840" t="s">
        <v>66</v>
      </c>
      <c r="H840">
        <v>3</v>
      </c>
      <c r="I840">
        <v>48308.35</v>
      </c>
      <c r="J840" s="2">
        <v>0.2</v>
      </c>
      <c r="K840" t="s">
        <v>44</v>
      </c>
      <c r="L840">
        <v>115940.04</v>
      </c>
      <c r="M840" t="str">
        <f>TEXT(Table1[[#This Row],[OrderDate]], "mmm")</f>
        <v>Dec</v>
      </c>
      <c r="N840" t="str">
        <f>IF(Table1[[#This Row],[TotalSales]]&gt;50000,"High",IF(L840&gt;20000,"Medium","Low"))</f>
        <v>High</v>
      </c>
      <c r="O840">
        <f>Table1[[#This Row],[TotalSales]]/Table1[[#This Row],[Quantity]]</f>
        <v>38646.68</v>
      </c>
    </row>
    <row r="841" spans="1:15" x14ac:dyDescent="0.35">
      <c r="A841" t="s">
        <v>899</v>
      </c>
      <c r="B841" s="1">
        <v>45349</v>
      </c>
      <c r="C841" t="s">
        <v>46</v>
      </c>
      <c r="D841" t="s">
        <v>47</v>
      </c>
      <c r="E841" t="s">
        <v>34</v>
      </c>
      <c r="F841" t="s">
        <v>48</v>
      </c>
      <c r="G841" t="s">
        <v>17</v>
      </c>
      <c r="H841">
        <v>15</v>
      </c>
      <c r="I841">
        <v>49345.65</v>
      </c>
      <c r="J841" s="2">
        <v>0.2</v>
      </c>
      <c r="K841" t="s">
        <v>18</v>
      </c>
      <c r="L841">
        <v>592147.80000000005</v>
      </c>
      <c r="M841" t="str">
        <f>TEXT(Table1[[#This Row],[OrderDate]], "mmm")</f>
        <v>Feb</v>
      </c>
      <c r="N841" t="str">
        <f>IF(Table1[[#This Row],[TotalSales]]&gt;50000,"High",IF(L841&gt;20000,"Medium","Low"))</f>
        <v>High</v>
      </c>
      <c r="O841">
        <f>Table1[[#This Row],[TotalSales]]/Table1[[#This Row],[Quantity]]</f>
        <v>39476.520000000004</v>
      </c>
    </row>
    <row r="842" spans="1:15" x14ac:dyDescent="0.35">
      <c r="A842" t="s">
        <v>900</v>
      </c>
      <c r="B842" s="1">
        <v>45648</v>
      </c>
      <c r="C842" t="s">
        <v>46</v>
      </c>
      <c r="D842" t="s">
        <v>79</v>
      </c>
      <c r="E842" t="s">
        <v>34</v>
      </c>
      <c r="F842" t="s">
        <v>48</v>
      </c>
      <c r="G842" t="s">
        <v>69</v>
      </c>
      <c r="H842">
        <v>7</v>
      </c>
      <c r="I842">
        <v>38824.07</v>
      </c>
      <c r="J842" s="2">
        <v>0.2</v>
      </c>
      <c r="K842" t="s">
        <v>31</v>
      </c>
      <c r="L842">
        <v>217414.79</v>
      </c>
      <c r="M842" t="str">
        <f>TEXT(Table1[[#This Row],[OrderDate]], "mmm")</f>
        <v>Dec</v>
      </c>
      <c r="N842" t="str">
        <f>IF(Table1[[#This Row],[TotalSales]]&gt;50000,"High",IF(L842&gt;20000,"Medium","Low"))</f>
        <v>High</v>
      </c>
      <c r="O842">
        <f>Table1[[#This Row],[TotalSales]]/Table1[[#This Row],[Quantity]]</f>
        <v>31059.255714285715</v>
      </c>
    </row>
    <row r="843" spans="1:15" x14ac:dyDescent="0.35">
      <c r="A843" t="s">
        <v>901</v>
      </c>
      <c r="B843" s="1">
        <v>45323</v>
      </c>
      <c r="C843" t="s">
        <v>20</v>
      </c>
      <c r="D843" t="s">
        <v>97</v>
      </c>
      <c r="E843" t="s">
        <v>28</v>
      </c>
      <c r="F843" t="s">
        <v>29</v>
      </c>
      <c r="G843" t="s">
        <v>49</v>
      </c>
      <c r="H843">
        <v>9</v>
      </c>
      <c r="I843">
        <v>42494.57</v>
      </c>
      <c r="J843" s="2">
        <v>0</v>
      </c>
      <c r="K843" t="s">
        <v>31</v>
      </c>
      <c r="L843">
        <v>382451.13</v>
      </c>
      <c r="M843" t="str">
        <f>TEXT(Table1[[#This Row],[OrderDate]], "mmm")</f>
        <v>Feb</v>
      </c>
      <c r="N843" t="str">
        <f>IF(Table1[[#This Row],[TotalSales]]&gt;50000,"High",IF(L843&gt;20000,"Medium","Low"))</f>
        <v>High</v>
      </c>
      <c r="O843">
        <f>Table1[[#This Row],[TotalSales]]/Table1[[#This Row],[Quantity]]</f>
        <v>42494.57</v>
      </c>
    </row>
    <row r="844" spans="1:15" x14ac:dyDescent="0.35">
      <c r="A844" t="s">
        <v>902</v>
      </c>
      <c r="B844" s="1">
        <v>45617</v>
      </c>
      <c r="C844" t="s">
        <v>20</v>
      </c>
      <c r="D844" t="s">
        <v>97</v>
      </c>
      <c r="E844" t="s">
        <v>28</v>
      </c>
      <c r="F844" t="s">
        <v>104</v>
      </c>
      <c r="G844" t="s">
        <v>17</v>
      </c>
      <c r="H844">
        <v>14</v>
      </c>
      <c r="I844">
        <v>2700.44</v>
      </c>
      <c r="J844" s="2">
        <v>0.05</v>
      </c>
      <c r="K844" t="s">
        <v>44</v>
      </c>
      <c r="L844">
        <v>35915.85</v>
      </c>
      <c r="M844" t="str">
        <f>TEXT(Table1[[#This Row],[OrderDate]], "mmm")</f>
        <v>Nov</v>
      </c>
      <c r="N844" t="str">
        <f>IF(Table1[[#This Row],[TotalSales]]&gt;50000,"High",IF(L844&gt;20000,"Medium","Low"))</f>
        <v>Medium</v>
      </c>
      <c r="O844">
        <f>Table1[[#This Row],[TotalSales]]/Table1[[#This Row],[Quantity]]</f>
        <v>2565.417857142857</v>
      </c>
    </row>
    <row r="845" spans="1:15" x14ac:dyDescent="0.35">
      <c r="A845" t="s">
        <v>903</v>
      </c>
      <c r="B845" s="1">
        <v>45338</v>
      </c>
      <c r="C845" t="s">
        <v>46</v>
      </c>
      <c r="D845" t="s">
        <v>79</v>
      </c>
      <c r="E845" t="s">
        <v>22</v>
      </c>
      <c r="F845" t="s">
        <v>23</v>
      </c>
      <c r="G845" t="s">
        <v>83</v>
      </c>
      <c r="H845">
        <v>13</v>
      </c>
      <c r="I845">
        <v>38819.230000000003</v>
      </c>
      <c r="J845" s="2">
        <v>0</v>
      </c>
      <c r="K845" t="s">
        <v>18</v>
      </c>
      <c r="L845">
        <v>504649.99</v>
      </c>
      <c r="M845" t="str">
        <f>TEXT(Table1[[#This Row],[OrderDate]], "mmm")</f>
        <v>Feb</v>
      </c>
      <c r="N845" t="str">
        <f>IF(Table1[[#This Row],[TotalSales]]&gt;50000,"High",IF(L845&gt;20000,"Medium","Low"))</f>
        <v>High</v>
      </c>
      <c r="O845">
        <f>Table1[[#This Row],[TotalSales]]/Table1[[#This Row],[Quantity]]</f>
        <v>38819.229999999996</v>
      </c>
    </row>
    <row r="846" spans="1:15" x14ac:dyDescent="0.35">
      <c r="A846" t="s">
        <v>904</v>
      </c>
      <c r="B846" s="1">
        <v>45374</v>
      </c>
      <c r="C846" t="s">
        <v>20</v>
      </c>
      <c r="D846" t="s">
        <v>97</v>
      </c>
      <c r="E846" t="s">
        <v>22</v>
      </c>
      <c r="F846" t="s">
        <v>82</v>
      </c>
      <c r="G846" t="s">
        <v>43</v>
      </c>
      <c r="H846">
        <v>15</v>
      </c>
      <c r="I846">
        <v>20688.62</v>
      </c>
      <c r="J846" s="2">
        <v>0.05</v>
      </c>
      <c r="K846" t="s">
        <v>31</v>
      </c>
      <c r="L846">
        <v>294812.83</v>
      </c>
      <c r="M846" t="str">
        <f>TEXT(Table1[[#This Row],[OrderDate]], "mmm")</f>
        <v>Mar</v>
      </c>
      <c r="N846" t="str">
        <f>IF(Table1[[#This Row],[TotalSales]]&gt;50000,"High",IF(L846&gt;20000,"Medium","Low"))</f>
        <v>High</v>
      </c>
      <c r="O846">
        <f>Table1[[#This Row],[TotalSales]]/Table1[[#This Row],[Quantity]]</f>
        <v>19654.188666666669</v>
      </c>
    </row>
    <row r="847" spans="1:15" x14ac:dyDescent="0.35">
      <c r="A847" t="s">
        <v>905</v>
      </c>
      <c r="B847" s="1">
        <v>45436</v>
      </c>
      <c r="C847" t="s">
        <v>46</v>
      </c>
      <c r="D847" t="s">
        <v>47</v>
      </c>
      <c r="E847" t="s">
        <v>34</v>
      </c>
      <c r="F847" t="s">
        <v>88</v>
      </c>
      <c r="G847" t="s">
        <v>66</v>
      </c>
      <c r="H847">
        <v>5</v>
      </c>
      <c r="I847">
        <v>1528.59</v>
      </c>
      <c r="J847" s="2">
        <v>0.15</v>
      </c>
      <c r="K847" t="s">
        <v>25</v>
      </c>
      <c r="L847">
        <v>6496.51</v>
      </c>
      <c r="M847" t="str">
        <f>TEXT(Table1[[#This Row],[OrderDate]], "mmm")</f>
        <v>May</v>
      </c>
      <c r="N847" t="str">
        <f>IF(Table1[[#This Row],[TotalSales]]&gt;50000,"High",IF(L847&gt;20000,"Medium","Low"))</f>
        <v>Low</v>
      </c>
      <c r="O847">
        <f>Table1[[#This Row],[TotalSales]]/Table1[[#This Row],[Quantity]]</f>
        <v>1299.3020000000001</v>
      </c>
    </row>
    <row r="848" spans="1:15" x14ac:dyDescent="0.35">
      <c r="A848" t="s">
        <v>906</v>
      </c>
      <c r="B848" s="1">
        <v>45329</v>
      </c>
      <c r="C848" t="s">
        <v>46</v>
      </c>
      <c r="D848" t="s">
        <v>47</v>
      </c>
      <c r="E848" t="s">
        <v>22</v>
      </c>
      <c r="F848" t="s">
        <v>52</v>
      </c>
      <c r="G848" t="s">
        <v>24</v>
      </c>
      <c r="H848">
        <v>9</v>
      </c>
      <c r="I848">
        <v>39771.79</v>
      </c>
      <c r="J848" s="2">
        <v>0.2</v>
      </c>
      <c r="K848" t="s">
        <v>31</v>
      </c>
      <c r="L848">
        <v>286356.89</v>
      </c>
      <c r="M848" t="str">
        <f>TEXT(Table1[[#This Row],[OrderDate]], "mmm")</f>
        <v>Feb</v>
      </c>
      <c r="N848" t="str">
        <f>IF(Table1[[#This Row],[TotalSales]]&gt;50000,"High",IF(L848&gt;20000,"Medium","Low"))</f>
        <v>High</v>
      </c>
      <c r="O848">
        <f>Table1[[#This Row],[TotalSales]]/Table1[[#This Row],[Quantity]]</f>
        <v>31817.432222222225</v>
      </c>
    </row>
    <row r="849" spans="1:15" x14ac:dyDescent="0.35">
      <c r="A849" t="s">
        <v>907</v>
      </c>
      <c r="B849" s="1">
        <v>45509</v>
      </c>
      <c r="C849" t="s">
        <v>13</v>
      </c>
      <c r="D849" t="s">
        <v>37</v>
      </c>
      <c r="E849" t="s">
        <v>34</v>
      </c>
      <c r="F849" t="s">
        <v>61</v>
      </c>
      <c r="G849" t="s">
        <v>30</v>
      </c>
      <c r="H849">
        <v>9</v>
      </c>
      <c r="I849">
        <v>40942.89</v>
      </c>
      <c r="J849" s="2">
        <v>0</v>
      </c>
      <c r="K849" t="s">
        <v>25</v>
      </c>
      <c r="L849">
        <v>368486.01</v>
      </c>
      <c r="M849" t="str">
        <f>TEXT(Table1[[#This Row],[OrderDate]], "mmm")</f>
        <v>Aug</v>
      </c>
      <c r="N849" t="str">
        <f>IF(Table1[[#This Row],[TotalSales]]&gt;50000,"High",IF(L849&gt;20000,"Medium","Low"))</f>
        <v>High</v>
      </c>
      <c r="O849">
        <f>Table1[[#This Row],[TotalSales]]/Table1[[#This Row],[Quantity]]</f>
        <v>40942.89</v>
      </c>
    </row>
    <row r="850" spans="1:15" x14ac:dyDescent="0.35">
      <c r="A850" t="s">
        <v>908</v>
      </c>
      <c r="B850" s="1">
        <v>45500</v>
      </c>
      <c r="C850" t="s">
        <v>46</v>
      </c>
      <c r="D850" t="s">
        <v>47</v>
      </c>
      <c r="E850" t="s">
        <v>28</v>
      </c>
      <c r="F850" t="s">
        <v>104</v>
      </c>
      <c r="G850" t="s">
        <v>30</v>
      </c>
      <c r="H850">
        <v>9</v>
      </c>
      <c r="I850">
        <v>15464.97</v>
      </c>
      <c r="J850" s="2">
        <v>0</v>
      </c>
      <c r="K850" t="s">
        <v>25</v>
      </c>
      <c r="L850">
        <f>(Table1[[#This Row],[Quantity]]*Table1[[#This Row],[UnitPrice]])-(Table1[[#This Row],[Quantity]]*Table1[[#This Row],[UnitPrice]])*Table1[[#This Row],[Discount%]]</f>
        <v>139184.72999999998</v>
      </c>
      <c r="M850" t="str">
        <f>TEXT(Table1[[#This Row],[OrderDate]], "mmm")</f>
        <v>Jul</v>
      </c>
      <c r="N850" t="str">
        <f>IF(Table1[[#This Row],[TotalSales]]&gt;50000,"High",IF(L850&gt;20000,"Medium","Low"))</f>
        <v>High</v>
      </c>
      <c r="O850">
        <f>Table1[[#This Row],[TotalSales]]/Table1[[#This Row],[Quantity]]</f>
        <v>15464.969999999998</v>
      </c>
    </row>
    <row r="851" spans="1:15" x14ac:dyDescent="0.35">
      <c r="A851" t="s">
        <v>909</v>
      </c>
      <c r="B851" s="1">
        <v>45587</v>
      </c>
      <c r="C851" t="s">
        <v>40</v>
      </c>
      <c r="D851" t="s">
        <v>55</v>
      </c>
      <c r="E851" t="s">
        <v>28</v>
      </c>
      <c r="F851" t="s">
        <v>76</v>
      </c>
      <c r="G851" t="s">
        <v>24</v>
      </c>
      <c r="H851">
        <v>1</v>
      </c>
      <c r="I851">
        <v>21974.7</v>
      </c>
      <c r="J851" s="2">
        <v>0</v>
      </c>
      <c r="K851" t="s">
        <v>31</v>
      </c>
      <c r="L851">
        <v>21974.7</v>
      </c>
      <c r="M851" t="str">
        <f>TEXT(Table1[[#This Row],[OrderDate]], "mmm")</f>
        <v>Oct</v>
      </c>
      <c r="N851" t="str">
        <f>IF(Table1[[#This Row],[TotalSales]]&gt;50000,"High",IF(L851&gt;20000,"Medium","Low"))</f>
        <v>Medium</v>
      </c>
      <c r="O851">
        <f>Table1[[#This Row],[TotalSales]]/Table1[[#This Row],[Quantity]]</f>
        <v>21974.7</v>
      </c>
    </row>
    <row r="852" spans="1:15" x14ac:dyDescent="0.35">
      <c r="A852" t="s">
        <v>910</v>
      </c>
      <c r="B852" s="1">
        <v>45595</v>
      </c>
      <c r="C852" t="s">
        <v>20</v>
      </c>
      <c r="D852" t="s">
        <v>97</v>
      </c>
      <c r="E852" t="s">
        <v>15</v>
      </c>
      <c r="F852" t="s">
        <v>59</v>
      </c>
      <c r="G852" t="s">
        <v>69</v>
      </c>
      <c r="H852">
        <v>4</v>
      </c>
      <c r="I852">
        <v>4797.1099999999997</v>
      </c>
      <c r="J852" s="2">
        <v>0.05</v>
      </c>
      <c r="K852" t="s">
        <v>31</v>
      </c>
      <c r="L852">
        <v>18229.02</v>
      </c>
      <c r="M852" t="str">
        <f>TEXT(Table1[[#This Row],[OrderDate]], "mmm")</f>
        <v>Oct</v>
      </c>
      <c r="N852" t="str">
        <f>IF(Table1[[#This Row],[TotalSales]]&gt;50000,"High",IF(L852&gt;20000,"Medium","Low"))</f>
        <v>Low</v>
      </c>
      <c r="O852">
        <f>Table1[[#This Row],[TotalSales]]/Table1[[#This Row],[Quantity]]</f>
        <v>4557.2550000000001</v>
      </c>
    </row>
    <row r="853" spans="1:15" x14ac:dyDescent="0.35">
      <c r="A853" t="s">
        <v>911</v>
      </c>
      <c r="B853" s="1">
        <v>45464</v>
      </c>
      <c r="C853" t="s">
        <v>40</v>
      </c>
      <c r="D853" t="s">
        <v>41</v>
      </c>
      <c r="E853" t="s">
        <v>34</v>
      </c>
      <c r="F853" t="s">
        <v>48</v>
      </c>
      <c r="G853" t="s">
        <v>69</v>
      </c>
      <c r="H853">
        <v>14</v>
      </c>
      <c r="I853">
        <v>8453.5400000000009</v>
      </c>
      <c r="J853" s="2">
        <v>0</v>
      </c>
      <c r="K853" t="s">
        <v>25</v>
      </c>
      <c r="L853">
        <v>118349.56</v>
      </c>
      <c r="M853" t="str">
        <f>TEXT(Table1[[#This Row],[OrderDate]], "mmm")</f>
        <v>Jun</v>
      </c>
      <c r="N853" t="str">
        <f>IF(Table1[[#This Row],[TotalSales]]&gt;50000,"High",IF(L853&gt;20000,"Medium","Low"))</f>
        <v>High</v>
      </c>
      <c r="O853">
        <f>Table1[[#This Row],[TotalSales]]/Table1[[#This Row],[Quantity]]</f>
        <v>8453.5399999999991</v>
      </c>
    </row>
    <row r="854" spans="1:15" x14ac:dyDescent="0.35">
      <c r="A854" t="s">
        <v>912</v>
      </c>
      <c r="B854" s="1">
        <v>45528</v>
      </c>
      <c r="C854" t="s">
        <v>20</v>
      </c>
      <c r="D854" t="s">
        <v>97</v>
      </c>
      <c r="E854" t="s">
        <v>34</v>
      </c>
      <c r="F854" t="s">
        <v>48</v>
      </c>
      <c r="G854" t="s">
        <v>17</v>
      </c>
      <c r="H854">
        <v>12</v>
      </c>
      <c r="I854">
        <v>26668.2</v>
      </c>
      <c r="J854" s="2">
        <v>0.1</v>
      </c>
      <c r="K854" t="s">
        <v>25</v>
      </c>
      <c r="L854">
        <v>288016.56</v>
      </c>
      <c r="M854" t="str">
        <f>TEXT(Table1[[#This Row],[OrderDate]], "mmm")</f>
        <v>Aug</v>
      </c>
      <c r="N854" t="str">
        <f>IF(Table1[[#This Row],[TotalSales]]&gt;50000,"High",IF(L854&gt;20000,"Medium","Low"))</f>
        <v>High</v>
      </c>
      <c r="O854">
        <f>Table1[[#This Row],[TotalSales]]/Table1[[#This Row],[Quantity]]</f>
        <v>24001.38</v>
      </c>
    </row>
    <row r="855" spans="1:15" x14ac:dyDescent="0.35">
      <c r="A855" t="s">
        <v>913</v>
      </c>
      <c r="B855" s="1">
        <v>45354</v>
      </c>
      <c r="C855" t="s">
        <v>20</v>
      </c>
      <c r="D855" t="s">
        <v>21</v>
      </c>
      <c r="E855" t="s">
        <v>22</v>
      </c>
      <c r="F855" t="s">
        <v>23</v>
      </c>
      <c r="G855" t="s">
        <v>30</v>
      </c>
      <c r="H855">
        <v>3</v>
      </c>
      <c r="I855">
        <v>11015.75</v>
      </c>
      <c r="J855" s="2">
        <v>0.2</v>
      </c>
      <c r="K855" t="s">
        <v>18</v>
      </c>
      <c r="L855">
        <v>26437.8</v>
      </c>
      <c r="M855" t="str">
        <f>TEXT(Table1[[#This Row],[OrderDate]], "mmm")</f>
        <v>Mar</v>
      </c>
      <c r="N855" t="str">
        <f>IF(Table1[[#This Row],[TotalSales]]&gt;50000,"High",IF(L855&gt;20000,"Medium","Low"))</f>
        <v>Medium</v>
      </c>
      <c r="O855">
        <f>Table1[[#This Row],[TotalSales]]/Table1[[#This Row],[Quantity]]</f>
        <v>8812.6</v>
      </c>
    </row>
    <row r="856" spans="1:15" x14ac:dyDescent="0.35">
      <c r="A856" t="s">
        <v>914</v>
      </c>
      <c r="B856" s="1">
        <v>45352</v>
      </c>
      <c r="C856" t="s">
        <v>46</v>
      </c>
      <c r="D856" t="s">
        <v>79</v>
      </c>
      <c r="E856" t="s">
        <v>34</v>
      </c>
      <c r="F856" t="s">
        <v>88</v>
      </c>
      <c r="G856" t="s">
        <v>83</v>
      </c>
      <c r="H856">
        <v>7</v>
      </c>
      <c r="I856">
        <v>54766.79</v>
      </c>
      <c r="J856" s="2">
        <v>0.15</v>
      </c>
      <c r="K856" t="s">
        <v>18</v>
      </c>
      <c r="L856">
        <v>325862.40000000002</v>
      </c>
      <c r="M856" t="str">
        <f>TEXT(Table1[[#This Row],[OrderDate]], "mmm")</f>
        <v>Mar</v>
      </c>
      <c r="N856" t="str">
        <f>IF(Table1[[#This Row],[TotalSales]]&gt;50000,"High",IF(L856&gt;20000,"Medium","Low"))</f>
        <v>High</v>
      </c>
      <c r="O856">
        <f>Table1[[#This Row],[TotalSales]]/Table1[[#This Row],[Quantity]]</f>
        <v>46551.771428571432</v>
      </c>
    </row>
    <row r="857" spans="1:15" x14ac:dyDescent="0.35">
      <c r="A857" t="s">
        <v>915</v>
      </c>
      <c r="B857" s="1">
        <v>45657</v>
      </c>
      <c r="C857" t="s">
        <v>20</v>
      </c>
      <c r="D857" t="s">
        <v>21</v>
      </c>
      <c r="E857" t="s">
        <v>22</v>
      </c>
      <c r="F857" t="s">
        <v>52</v>
      </c>
      <c r="G857" t="s">
        <v>24</v>
      </c>
      <c r="H857">
        <v>6</v>
      </c>
      <c r="I857">
        <v>28662.01</v>
      </c>
      <c r="J857" s="2">
        <v>0</v>
      </c>
      <c r="K857" t="s">
        <v>18</v>
      </c>
      <c r="L857">
        <v>171972.06</v>
      </c>
      <c r="M857" t="str">
        <f>TEXT(Table1[[#This Row],[OrderDate]], "mmm")</f>
        <v>Dec</v>
      </c>
      <c r="N857" t="str">
        <f>IF(Table1[[#This Row],[TotalSales]]&gt;50000,"High",IF(L857&gt;20000,"Medium","Low"))</f>
        <v>High</v>
      </c>
      <c r="O857">
        <f>Table1[[#This Row],[TotalSales]]/Table1[[#This Row],[Quantity]]</f>
        <v>28662.01</v>
      </c>
    </row>
    <row r="858" spans="1:15" x14ac:dyDescent="0.35">
      <c r="A858" t="s">
        <v>916</v>
      </c>
      <c r="B858" s="1">
        <v>45383</v>
      </c>
      <c r="C858" t="s">
        <v>13</v>
      </c>
      <c r="D858" t="s">
        <v>37</v>
      </c>
      <c r="E858" t="s">
        <v>34</v>
      </c>
      <c r="F858" t="s">
        <v>35</v>
      </c>
      <c r="G858" t="s">
        <v>83</v>
      </c>
      <c r="H858">
        <v>3</v>
      </c>
      <c r="I858">
        <v>25983.040000000001</v>
      </c>
      <c r="J858" s="2">
        <v>0</v>
      </c>
      <c r="K858" t="s">
        <v>31</v>
      </c>
      <c r="L858">
        <v>77949.119999999995</v>
      </c>
      <c r="M858" t="str">
        <f>TEXT(Table1[[#This Row],[OrderDate]], "mmm")</f>
        <v>Apr</v>
      </c>
      <c r="N858" t="str">
        <f>IF(Table1[[#This Row],[TotalSales]]&gt;50000,"High",IF(L858&gt;20000,"Medium","Low"))</f>
        <v>High</v>
      </c>
      <c r="O858">
        <f>Table1[[#This Row],[TotalSales]]/Table1[[#This Row],[Quantity]]</f>
        <v>25983.039999999997</v>
      </c>
    </row>
    <row r="859" spans="1:15" x14ac:dyDescent="0.35">
      <c r="A859" t="s">
        <v>917</v>
      </c>
      <c r="B859" s="1">
        <v>45471</v>
      </c>
      <c r="C859" t="s">
        <v>20</v>
      </c>
      <c r="D859" t="s">
        <v>27</v>
      </c>
      <c r="E859" t="s">
        <v>15</v>
      </c>
      <c r="F859" t="s">
        <v>38</v>
      </c>
      <c r="G859" t="s">
        <v>66</v>
      </c>
      <c r="H859">
        <v>11</v>
      </c>
      <c r="I859">
        <v>30841.75</v>
      </c>
      <c r="J859" s="2">
        <v>0</v>
      </c>
      <c r="K859" t="s">
        <v>44</v>
      </c>
      <c r="L859">
        <v>339259.25</v>
      </c>
      <c r="M859" t="str">
        <f>TEXT(Table1[[#This Row],[OrderDate]], "mmm")</f>
        <v>Jun</v>
      </c>
      <c r="N859" t="str">
        <f>IF(Table1[[#This Row],[TotalSales]]&gt;50000,"High",IF(L859&gt;20000,"Medium","Low"))</f>
        <v>High</v>
      </c>
      <c r="O859">
        <f>Table1[[#This Row],[TotalSales]]/Table1[[#This Row],[Quantity]]</f>
        <v>30841.75</v>
      </c>
    </row>
    <row r="860" spans="1:15" x14ac:dyDescent="0.35">
      <c r="A860" t="s">
        <v>918</v>
      </c>
      <c r="B860" s="1">
        <v>45569</v>
      </c>
      <c r="C860" t="s">
        <v>13</v>
      </c>
      <c r="D860" t="s">
        <v>33</v>
      </c>
      <c r="E860" t="s">
        <v>28</v>
      </c>
      <c r="F860" t="s">
        <v>104</v>
      </c>
      <c r="G860" t="s">
        <v>17</v>
      </c>
      <c r="H860">
        <v>11</v>
      </c>
      <c r="I860">
        <v>36333.339999999997</v>
      </c>
      <c r="J860" s="2">
        <v>0</v>
      </c>
      <c r="K860" t="s">
        <v>18</v>
      </c>
      <c r="L860">
        <v>399666.74</v>
      </c>
      <c r="M860" t="str">
        <f>TEXT(Table1[[#This Row],[OrderDate]], "mmm")</f>
        <v>Oct</v>
      </c>
      <c r="N860" t="str">
        <f>IF(Table1[[#This Row],[TotalSales]]&gt;50000,"High",IF(L860&gt;20000,"Medium","Low"))</f>
        <v>High</v>
      </c>
      <c r="O860">
        <f>Table1[[#This Row],[TotalSales]]/Table1[[#This Row],[Quantity]]</f>
        <v>36333.339999999997</v>
      </c>
    </row>
    <row r="861" spans="1:15" x14ac:dyDescent="0.35">
      <c r="A861" t="s">
        <v>919</v>
      </c>
      <c r="B861" s="1">
        <v>45607</v>
      </c>
      <c r="C861" t="s">
        <v>13</v>
      </c>
      <c r="D861" t="s">
        <v>33</v>
      </c>
      <c r="E861" t="s">
        <v>34</v>
      </c>
      <c r="F861" t="s">
        <v>48</v>
      </c>
      <c r="G861" t="s">
        <v>24</v>
      </c>
      <c r="H861">
        <v>11</v>
      </c>
      <c r="I861">
        <v>50025.79</v>
      </c>
      <c r="J861" s="2">
        <v>0</v>
      </c>
      <c r="K861" t="s">
        <v>18</v>
      </c>
      <c r="L861">
        <v>550283.68999999994</v>
      </c>
      <c r="M861" t="str">
        <f>TEXT(Table1[[#This Row],[OrderDate]], "mmm")</f>
        <v>Nov</v>
      </c>
      <c r="N861" t="str">
        <f>IF(Table1[[#This Row],[TotalSales]]&gt;50000,"High",IF(L861&gt;20000,"Medium","Low"))</f>
        <v>High</v>
      </c>
      <c r="O861">
        <f>Table1[[#This Row],[TotalSales]]/Table1[[#This Row],[Quantity]]</f>
        <v>50025.789999999994</v>
      </c>
    </row>
    <row r="862" spans="1:15" x14ac:dyDescent="0.35">
      <c r="A862" t="s">
        <v>920</v>
      </c>
      <c r="B862" s="1">
        <v>45331</v>
      </c>
      <c r="C862" t="s">
        <v>46</v>
      </c>
      <c r="D862" t="s">
        <v>79</v>
      </c>
      <c r="E862" t="s">
        <v>22</v>
      </c>
      <c r="F862" t="s">
        <v>82</v>
      </c>
      <c r="G862" t="s">
        <v>17</v>
      </c>
      <c r="H862">
        <v>15</v>
      </c>
      <c r="I862">
        <v>53347.35</v>
      </c>
      <c r="J862" s="2">
        <v>0</v>
      </c>
      <c r="K862" t="s">
        <v>18</v>
      </c>
      <c r="L862">
        <v>800210.25</v>
      </c>
      <c r="M862" t="str">
        <f>TEXT(Table1[[#This Row],[OrderDate]], "mmm")</f>
        <v>Feb</v>
      </c>
      <c r="N862" t="str">
        <f>IF(Table1[[#This Row],[TotalSales]]&gt;50000,"High",IF(L862&gt;20000,"Medium","Low"))</f>
        <v>High</v>
      </c>
      <c r="O862">
        <f>Table1[[#This Row],[TotalSales]]/Table1[[#This Row],[Quantity]]</f>
        <v>53347.35</v>
      </c>
    </row>
    <row r="863" spans="1:15" x14ac:dyDescent="0.35">
      <c r="A863" t="s">
        <v>921</v>
      </c>
      <c r="B863" s="1">
        <v>45534</v>
      </c>
      <c r="C863" t="s">
        <v>40</v>
      </c>
      <c r="D863" t="s">
        <v>51</v>
      </c>
      <c r="E863" t="s">
        <v>34</v>
      </c>
      <c r="F863" t="s">
        <v>88</v>
      </c>
      <c r="G863" t="s">
        <v>24</v>
      </c>
      <c r="H863">
        <v>6</v>
      </c>
      <c r="I863">
        <v>17284.55</v>
      </c>
      <c r="J863" s="2">
        <v>0.1</v>
      </c>
      <c r="K863" t="s">
        <v>44</v>
      </c>
      <c r="L863">
        <v>93336.57</v>
      </c>
      <c r="M863" t="str">
        <f>TEXT(Table1[[#This Row],[OrderDate]], "mmm")</f>
        <v>Aug</v>
      </c>
      <c r="N863" t="str">
        <f>IF(Table1[[#This Row],[TotalSales]]&gt;50000,"High",IF(L863&gt;20000,"Medium","Low"))</f>
        <v>High</v>
      </c>
      <c r="O863">
        <f>Table1[[#This Row],[TotalSales]]/Table1[[#This Row],[Quantity]]</f>
        <v>15556.095000000001</v>
      </c>
    </row>
    <row r="864" spans="1:15" x14ac:dyDescent="0.35">
      <c r="A864" t="s">
        <v>922</v>
      </c>
      <c r="B864" s="1">
        <v>45647</v>
      </c>
      <c r="C864" t="s">
        <v>40</v>
      </c>
      <c r="D864" t="s">
        <v>41</v>
      </c>
      <c r="E864" t="s">
        <v>22</v>
      </c>
      <c r="F864" t="s">
        <v>82</v>
      </c>
      <c r="G864" t="s">
        <v>83</v>
      </c>
      <c r="H864">
        <v>13</v>
      </c>
      <c r="I864">
        <v>13929.54</v>
      </c>
      <c r="J864" s="2">
        <v>0</v>
      </c>
      <c r="K864" t="s">
        <v>25</v>
      </c>
      <c r="L864">
        <f>(Table1[[#This Row],[Quantity]]*Table1[[#This Row],[UnitPrice]])-(Table1[[#This Row],[Quantity]]*Table1[[#This Row],[UnitPrice]])*Table1[[#This Row],[Discount%]]</f>
        <v>181084.02000000002</v>
      </c>
      <c r="M864" t="str">
        <f>TEXT(Table1[[#This Row],[OrderDate]], "mmm")</f>
        <v>Dec</v>
      </c>
      <c r="N864" t="str">
        <f>IF(Table1[[#This Row],[TotalSales]]&gt;50000,"High",IF(L864&gt;20000,"Medium","Low"))</f>
        <v>High</v>
      </c>
      <c r="O864">
        <f>Table1[[#This Row],[TotalSales]]/Table1[[#This Row],[Quantity]]</f>
        <v>13929.54</v>
      </c>
    </row>
    <row r="865" spans="1:15" x14ac:dyDescent="0.35">
      <c r="A865" t="s">
        <v>923</v>
      </c>
      <c r="B865" s="1">
        <v>45578</v>
      </c>
      <c r="C865" t="s">
        <v>20</v>
      </c>
      <c r="D865" t="s">
        <v>21</v>
      </c>
      <c r="E865" t="s">
        <v>28</v>
      </c>
      <c r="F865" t="s">
        <v>104</v>
      </c>
      <c r="G865" t="s">
        <v>30</v>
      </c>
      <c r="H865">
        <v>15</v>
      </c>
      <c r="I865">
        <v>54884.93</v>
      </c>
      <c r="J865" s="2">
        <v>0</v>
      </c>
      <c r="K865" t="s">
        <v>44</v>
      </c>
      <c r="L865">
        <f>(Table1[[#This Row],[Quantity]]*Table1[[#This Row],[UnitPrice]])-(Table1[[#This Row],[Quantity]]*Table1[[#This Row],[UnitPrice]])*Table1[[#This Row],[Discount%]]</f>
        <v>823273.95</v>
      </c>
      <c r="M865" t="str">
        <f>TEXT(Table1[[#This Row],[OrderDate]], "mmm")</f>
        <v>Oct</v>
      </c>
      <c r="N865" t="str">
        <f>IF(Table1[[#This Row],[TotalSales]]&gt;50000,"High",IF(L865&gt;20000,"Medium","Low"))</f>
        <v>High</v>
      </c>
      <c r="O865">
        <f>Table1[[#This Row],[TotalSales]]/Table1[[#This Row],[Quantity]]</f>
        <v>54884.93</v>
      </c>
    </row>
    <row r="866" spans="1:15" x14ac:dyDescent="0.35">
      <c r="A866" t="s">
        <v>924</v>
      </c>
      <c r="B866" s="1">
        <v>45340</v>
      </c>
      <c r="C866" t="s">
        <v>13</v>
      </c>
      <c r="D866" t="s">
        <v>37</v>
      </c>
      <c r="E866" t="s">
        <v>22</v>
      </c>
      <c r="F866" t="s">
        <v>23</v>
      </c>
      <c r="G866" t="s">
        <v>30</v>
      </c>
      <c r="H866">
        <v>15</v>
      </c>
      <c r="I866">
        <v>20413.93</v>
      </c>
      <c r="J866" s="2">
        <v>0</v>
      </c>
      <c r="K866" t="s">
        <v>25</v>
      </c>
      <c r="L866">
        <v>306208.95</v>
      </c>
      <c r="M866" t="str">
        <f>TEXT(Table1[[#This Row],[OrderDate]], "mmm")</f>
        <v>Feb</v>
      </c>
      <c r="N866" t="str">
        <f>IF(Table1[[#This Row],[TotalSales]]&gt;50000,"High",IF(L866&gt;20000,"Medium","Low"))</f>
        <v>High</v>
      </c>
      <c r="O866">
        <f>Table1[[#This Row],[TotalSales]]/Table1[[#This Row],[Quantity]]</f>
        <v>20413.93</v>
      </c>
    </row>
    <row r="867" spans="1:15" x14ac:dyDescent="0.35">
      <c r="A867" t="s">
        <v>925</v>
      </c>
      <c r="B867" s="1">
        <v>45321</v>
      </c>
      <c r="C867" t="s">
        <v>13</v>
      </c>
      <c r="D867" t="s">
        <v>33</v>
      </c>
      <c r="E867" t="s">
        <v>15</v>
      </c>
      <c r="F867" t="s">
        <v>56</v>
      </c>
      <c r="G867" t="s">
        <v>24</v>
      </c>
      <c r="H867">
        <v>10</v>
      </c>
      <c r="I867">
        <v>45318.25</v>
      </c>
      <c r="J867" s="2">
        <v>0.2</v>
      </c>
      <c r="K867" t="s">
        <v>25</v>
      </c>
      <c r="L867">
        <v>362546</v>
      </c>
      <c r="M867" t="str">
        <f>TEXT(Table1[[#This Row],[OrderDate]], "mmm")</f>
        <v>Jan</v>
      </c>
      <c r="N867" t="str">
        <f>IF(Table1[[#This Row],[TotalSales]]&gt;50000,"High",IF(L867&gt;20000,"Medium","Low"))</f>
        <v>High</v>
      </c>
      <c r="O867">
        <f>Table1[[#This Row],[TotalSales]]/Table1[[#This Row],[Quantity]]</f>
        <v>36254.6</v>
      </c>
    </row>
    <row r="868" spans="1:15" x14ac:dyDescent="0.35">
      <c r="A868" t="s">
        <v>926</v>
      </c>
      <c r="B868" s="1">
        <v>45605</v>
      </c>
      <c r="C868" t="s">
        <v>13</v>
      </c>
      <c r="D868" t="s">
        <v>14</v>
      </c>
      <c r="E868" t="s">
        <v>15</v>
      </c>
      <c r="F868" t="s">
        <v>16</v>
      </c>
      <c r="G868" t="s">
        <v>17</v>
      </c>
      <c r="H868">
        <v>15</v>
      </c>
      <c r="I868">
        <v>39289.410000000003</v>
      </c>
      <c r="J868" s="2">
        <v>0.15</v>
      </c>
      <c r="K868" t="s">
        <v>31</v>
      </c>
      <c r="L868">
        <v>500939.98</v>
      </c>
      <c r="M868" t="str">
        <f>TEXT(Table1[[#This Row],[OrderDate]], "mmm")</f>
        <v>Nov</v>
      </c>
      <c r="N868" t="str">
        <f>IF(Table1[[#This Row],[TotalSales]]&gt;50000,"High",IF(L868&gt;20000,"Medium","Low"))</f>
        <v>High</v>
      </c>
      <c r="O868">
        <f>Table1[[#This Row],[TotalSales]]/Table1[[#This Row],[Quantity]]</f>
        <v>33395.998666666666</v>
      </c>
    </row>
    <row r="869" spans="1:15" x14ac:dyDescent="0.35">
      <c r="A869" t="s">
        <v>927</v>
      </c>
      <c r="B869" s="1">
        <v>45570</v>
      </c>
      <c r="C869" t="s">
        <v>13</v>
      </c>
      <c r="D869" t="s">
        <v>14</v>
      </c>
      <c r="E869" t="s">
        <v>34</v>
      </c>
      <c r="F869" t="s">
        <v>35</v>
      </c>
      <c r="G869" t="s">
        <v>83</v>
      </c>
      <c r="H869">
        <v>5</v>
      </c>
      <c r="I869">
        <v>54090.51</v>
      </c>
      <c r="J869" s="2">
        <v>0</v>
      </c>
      <c r="K869" t="s">
        <v>18</v>
      </c>
      <c r="L869">
        <v>270452.55</v>
      </c>
      <c r="M869" t="str">
        <f>TEXT(Table1[[#This Row],[OrderDate]], "mmm")</f>
        <v>Oct</v>
      </c>
      <c r="N869" t="str">
        <f>IF(Table1[[#This Row],[TotalSales]]&gt;50000,"High",IF(L869&gt;20000,"Medium","Low"))</f>
        <v>High</v>
      </c>
      <c r="O869">
        <f>Table1[[#This Row],[TotalSales]]/Table1[[#This Row],[Quantity]]</f>
        <v>54090.509999999995</v>
      </c>
    </row>
    <row r="870" spans="1:15" x14ac:dyDescent="0.35">
      <c r="A870" t="s">
        <v>928</v>
      </c>
      <c r="B870" s="1">
        <v>45633</v>
      </c>
      <c r="C870" t="s">
        <v>40</v>
      </c>
      <c r="D870" t="s">
        <v>41</v>
      </c>
      <c r="E870" t="s">
        <v>28</v>
      </c>
      <c r="F870" t="s">
        <v>76</v>
      </c>
      <c r="G870" t="s">
        <v>30</v>
      </c>
      <c r="H870">
        <v>11</v>
      </c>
      <c r="I870">
        <v>3569.29</v>
      </c>
      <c r="J870" s="2">
        <v>0</v>
      </c>
      <c r="K870" t="s">
        <v>31</v>
      </c>
      <c r="L870">
        <v>39262.19</v>
      </c>
      <c r="M870" t="str">
        <f>TEXT(Table1[[#This Row],[OrderDate]], "mmm")</f>
        <v>Dec</v>
      </c>
      <c r="N870" t="str">
        <f>IF(Table1[[#This Row],[TotalSales]]&gt;50000,"High",IF(L870&gt;20000,"Medium","Low"))</f>
        <v>Medium</v>
      </c>
      <c r="O870">
        <f>Table1[[#This Row],[TotalSales]]/Table1[[#This Row],[Quantity]]</f>
        <v>3569.2900000000004</v>
      </c>
    </row>
    <row r="871" spans="1:15" x14ac:dyDescent="0.35">
      <c r="A871" t="s">
        <v>929</v>
      </c>
      <c r="B871" s="1">
        <v>45617</v>
      </c>
      <c r="C871" t="s">
        <v>40</v>
      </c>
      <c r="D871" t="s">
        <v>55</v>
      </c>
      <c r="E871" t="s">
        <v>28</v>
      </c>
      <c r="F871" t="s">
        <v>125</v>
      </c>
      <c r="G871" t="s">
        <v>17</v>
      </c>
      <c r="H871">
        <v>12</v>
      </c>
      <c r="I871">
        <v>46348.4</v>
      </c>
      <c r="J871" s="2">
        <v>0</v>
      </c>
      <c r="K871" t="s">
        <v>25</v>
      </c>
      <c r="L871">
        <v>556180.80000000005</v>
      </c>
      <c r="M871" t="str">
        <f>TEXT(Table1[[#This Row],[OrderDate]], "mmm")</f>
        <v>Nov</v>
      </c>
      <c r="N871" t="str">
        <f>IF(Table1[[#This Row],[TotalSales]]&gt;50000,"High",IF(L871&gt;20000,"Medium","Low"))</f>
        <v>High</v>
      </c>
      <c r="O871">
        <f>Table1[[#This Row],[TotalSales]]/Table1[[#This Row],[Quantity]]</f>
        <v>46348.4</v>
      </c>
    </row>
    <row r="872" spans="1:15" x14ac:dyDescent="0.35">
      <c r="A872" t="s">
        <v>930</v>
      </c>
      <c r="B872" s="1">
        <v>45336</v>
      </c>
      <c r="C872" t="s">
        <v>46</v>
      </c>
      <c r="D872" t="s">
        <v>47</v>
      </c>
      <c r="E872" t="s">
        <v>15</v>
      </c>
      <c r="F872" t="s">
        <v>16</v>
      </c>
      <c r="G872" t="s">
        <v>83</v>
      </c>
      <c r="H872">
        <v>3</v>
      </c>
      <c r="I872">
        <v>17599.07</v>
      </c>
      <c r="J872" s="2">
        <v>0.15</v>
      </c>
      <c r="K872" t="s">
        <v>25</v>
      </c>
      <c r="L872">
        <v>44877.63</v>
      </c>
      <c r="M872" t="str">
        <f>TEXT(Table1[[#This Row],[OrderDate]], "mmm")</f>
        <v>Feb</v>
      </c>
      <c r="N872" t="str">
        <f>IF(Table1[[#This Row],[TotalSales]]&gt;50000,"High",IF(L872&gt;20000,"Medium","Low"))</f>
        <v>Medium</v>
      </c>
      <c r="O872">
        <f>Table1[[#This Row],[TotalSales]]/Table1[[#This Row],[Quantity]]</f>
        <v>14959.21</v>
      </c>
    </row>
    <row r="873" spans="1:15" x14ac:dyDescent="0.35">
      <c r="A873" t="s">
        <v>931</v>
      </c>
      <c r="B873" s="1">
        <v>45620</v>
      </c>
      <c r="C873" t="s">
        <v>13</v>
      </c>
      <c r="D873" t="s">
        <v>33</v>
      </c>
      <c r="E873" t="s">
        <v>15</v>
      </c>
      <c r="F873" t="s">
        <v>59</v>
      </c>
      <c r="G873" t="s">
        <v>24</v>
      </c>
      <c r="H873">
        <v>15</v>
      </c>
      <c r="I873">
        <v>47579.31</v>
      </c>
      <c r="J873" s="2">
        <v>0.15</v>
      </c>
      <c r="K873" t="s">
        <v>44</v>
      </c>
      <c r="L873">
        <v>606636.19999999995</v>
      </c>
      <c r="M873" t="str">
        <f>TEXT(Table1[[#This Row],[OrderDate]], "mmm")</f>
        <v>Nov</v>
      </c>
      <c r="N873" t="str">
        <f>IF(Table1[[#This Row],[TotalSales]]&gt;50000,"High",IF(L873&gt;20000,"Medium","Low"))</f>
        <v>High</v>
      </c>
      <c r="O873">
        <f>Table1[[#This Row],[TotalSales]]/Table1[[#This Row],[Quantity]]</f>
        <v>40442.41333333333</v>
      </c>
    </row>
    <row r="874" spans="1:15" x14ac:dyDescent="0.35">
      <c r="A874" t="s">
        <v>932</v>
      </c>
      <c r="B874" s="1">
        <v>45388</v>
      </c>
      <c r="C874" t="s">
        <v>40</v>
      </c>
      <c r="D874" t="s">
        <v>55</v>
      </c>
      <c r="E874" t="s">
        <v>22</v>
      </c>
      <c r="F874" t="s">
        <v>52</v>
      </c>
      <c r="G874" t="s">
        <v>83</v>
      </c>
      <c r="H874">
        <v>5</v>
      </c>
      <c r="I874">
        <v>48619.56</v>
      </c>
      <c r="J874" s="2">
        <v>0</v>
      </c>
      <c r="K874" t="s">
        <v>44</v>
      </c>
      <c r="L874">
        <v>243097.8</v>
      </c>
      <c r="M874" t="str">
        <f>TEXT(Table1[[#This Row],[OrderDate]], "mmm")</f>
        <v>Apr</v>
      </c>
      <c r="N874" t="str">
        <f>IF(Table1[[#This Row],[TotalSales]]&gt;50000,"High",IF(L874&gt;20000,"Medium","Low"))</f>
        <v>High</v>
      </c>
      <c r="O874">
        <f>Table1[[#This Row],[TotalSales]]/Table1[[#This Row],[Quantity]]</f>
        <v>48619.56</v>
      </c>
    </row>
    <row r="875" spans="1:15" x14ac:dyDescent="0.35">
      <c r="A875" t="s">
        <v>933</v>
      </c>
      <c r="B875" s="1">
        <v>45591</v>
      </c>
      <c r="C875" t="s">
        <v>20</v>
      </c>
      <c r="D875" t="s">
        <v>27</v>
      </c>
      <c r="E875" t="s">
        <v>28</v>
      </c>
      <c r="F875" t="s">
        <v>104</v>
      </c>
      <c r="G875" t="s">
        <v>49</v>
      </c>
      <c r="H875">
        <v>7</v>
      </c>
      <c r="I875">
        <v>8732.59</v>
      </c>
      <c r="J875" s="2">
        <v>0.1</v>
      </c>
      <c r="K875" t="s">
        <v>18</v>
      </c>
      <c r="L875">
        <v>55015.32</v>
      </c>
      <c r="M875" t="str">
        <f>TEXT(Table1[[#This Row],[OrderDate]], "mmm")</f>
        <v>Oct</v>
      </c>
      <c r="N875" t="str">
        <f>IF(Table1[[#This Row],[TotalSales]]&gt;50000,"High",IF(L875&gt;20000,"Medium","Low"))</f>
        <v>High</v>
      </c>
      <c r="O875">
        <f>Table1[[#This Row],[TotalSales]]/Table1[[#This Row],[Quantity]]</f>
        <v>7859.3314285714287</v>
      </c>
    </row>
    <row r="876" spans="1:15" x14ac:dyDescent="0.35">
      <c r="A876" t="s">
        <v>934</v>
      </c>
      <c r="B876" s="1">
        <v>45399</v>
      </c>
      <c r="C876" t="s">
        <v>46</v>
      </c>
      <c r="D876" t="s">
        <v>71</v>
      </c>
      <c r="E876" t="s">
        <v>28</v>
      </c>
      <c r="F876" t="s">
        <v>29</v>
      </c>
      <c r="G876" t="s">
        <v>24</v>
      </c>
      <c r="H876">
        <v>5</v>
      </c>
      <c r="I876">
        <v>12160.37</v>
      </c>
      <c r="J876" s="2">
        <v>0</v>
      </c>
      <c r="K876" t="s">
        <v>25</v>
      </c>
      <c r="L876">
        <v>60801.85</v>
      </c>
      <c r="M876" t="str">
        <f>TEXT(Table1[[#This Row],[OrderDate]], "mmm")</f>
        <v>Apr</v>
      </c>
      <c r="N876" t="str">
        <f>IF(Table1[[#This Row],[TotalSales]]&gt;50000,"High",IF(L876&gt;20000,"Medium","Low"))</f>
        <v>High</v>
      </c>
      <c r="O876">
        <f>Table1[[#This Row],[TotalSales]]/Table1[[#This Row],[Quantity]]</f>
        <v>12160.369999999999</v>
      </c>
    </row>
    <row r="877" spans="1:15" x14ac:dyDescent="0.35">
      <c r="A877" t="s">
        <v>935</v>
      </c>
      <c r="B877" s="1">
        <v>45593</v>
      </c>
      <c r="C877" t="s">
        <v>40</v>
      </c>
      <c r="D877" t="s">
        <v>51</v>
      </c>
      <c r="E877" t="s">
        <v>28</v>
      </c>
      <c r="F877" t="s">
        <v>29</v>
      </c>
      <c r="G877" t="s">
        <v>30</v>
      </c>
      <c r="H877">
        <v>15</v>
      </c>
      <c r="I877">
        <v>2054.9699999999998</v>
      </c>
      <c r="J877" s="2">
        <v>0.15</v>
      </c>
      <c r="K877" t="s">
        <v>44</v>
      </c>
      <c r="L877">
        <v>26200.87</v>
      </c>
      <c r="M877" t="str">
        <f>TEXT(Table1[[#This Row],[OrderDate]], "mmm")</f>
        <v>Oct</v>
      </c>
      <c r="N877" t="str">
        <f>IF(Table1[[#This Row],[TotalSales]]&gt;50000,"High",IF(L877&gt;20000,"Medium","Low"))</f>
        <v>Medium</v>
      </c>
      <c r="O877">
        <f>Table1[[#This Row],[TotalSales]]/Table1[[#This Row],[Quantity]]</f>
        <v>1746.7246666666665</v>
      </c>
    </row>
    <row r="878" spans="1:15" x14ac:dyDescent="0.35">
      <c r="A878" t="s">
        <v>936</v>
      </c>
      <c r="B878" s="1">
        <v>45448</v>
      </c>
      <c r="C878" t="s">
        <v>20</v>
      </c>
      <c r="D878" t="s">
        <v>97</v>
      </c>
      <c r="E878" t="s">
        <v>28</v>
      </c>
      <c r="F878" t="s">
        <v>76</v>
      </c>
      <c r="G878" t="s">
        <v>66</v>
      </c>
      <c r="H878">
        <v>3</v>
      </c>
      <c r="I878">
        <v>25782.9</v>
      </c>
      <c r="J878" s="2">
        <v>0</v>
      </c>
      <c r="K878" t="s">
        <v>25</v>
      </c>
      <c r="L878">
        <v>77348.7</v>
      </c>
      <c r="M878" t="str">
        <f>TEXT(Table1[[#This Row],[OrderDate]], "mmm")</f>
        <v>Jun</v>
      </c>
      <c r="N878" t="str">
        <f>IF(Table1[[#This Row],[TotalSales]]&gt;50000,"High",IF(L878&gt;20000,"Medium","Low"))</f>
        <v>High</v>
      </c>
      <c r="O878">
        <f>Table1[[#This Row],[TotalSales]]/Table1[[#This Row],[Quantity]]</f>
        <v>25782.899999999998</v>
      </c>
    </row>
    <row r="879" spans="1:15" x14ac:dyDescent="0.35">
      <c r="A879" t="s">
        <v>937</v>
      </c>
      <c r="B879" s="1">
        <v>45483</v>
      </c>
      <c r="C879" t="s">
        <v>13</v>
      </c>
      <c r="D879" t="s">
        <v>33</v>
      </c>
      <c r="E879" t="s">
        <v>34</v>
      </c>
      <c r="F879" t="s">
        <v>61</v>
      </c>
      <c r="G879" t="s">
        <v>17</v>
      </c>
      <c r="H879">
        <v>10</v>
      </c>
      <c r="I879">
        <v>18715.73</v>
      </c>
      <c r="J879" s="2">
        <v>0.15</v>
      </c>
      <c r="K879" t="s">
        <v>25</v>
      </c>
      <c r="L879">
        <v>159083.70000000001</v>
      </c>
      <c r="M879" t="str">
        <f>TEXT(Table1[[#This Row],[OrderDate]], "mmm")</f>
        <v>Jul</v>
      </c>
      <c r="N879" t="str">
        <f>IF(Table1[[#This Row],[TotalSales]]&gt;50000,"High",IF(L879&gt;20000,"Medium","Low"))</f>
        <v>High</v>
      </c>
      <c r="O879">
        <f>Table1[[#This Row],[TotalSales]]/Table1[[#This Row],[Quantity]]</f>
        <v>15908.37</v>
      </c>
    </row>
    <row r="880" spans="1:15" x14ac:dyDescent="0.35">
      <c r="A880" t="s">
        <v>938</v>
      </c>
      <c r="B880" s="1">
        <v>45306</v>
      </c>
      <c r="C880" t="s">
        <v>40</v>
      </c>
      <c r="D880" t="s">
        <v>51</v>
      </c>
      <c r="E880" t="s">
        <v>34</v>
      </c>
      <c r="F880" t="s">
        <v>48</v>
      </c>
      <c r="G880" t="s">
        <v>24</v>
      </c>
      <c r="H880">
        <v>3</v>
      </c>
      <c r="I880">
        <v>28268.799999999999</v>
      </c>
      <c r="J880" s="2">
        <v>0</v>
      </c>
      <c r="K880" t="s">
        <v>18</v>
      </c>
      <c r="L880">
        <v>84806.399999999994</v>
      </c>
      <c r="M880" t="str">
        <f>TEXT(Table1[[#This Row],[OrderDate]], "mmm")</f>
        <v>Jan</v>
      </c>
      <c r="N880" t="str">
        <f>IF(Table1[[#This Row],[TotalSales]]&gt;50000,"High",IF(L880&gt;20000,"Medium","Low"))</f>
        <v>High</v>
      </c>
      <c r="O880">
        <f>Table1[[#This Row],[TotalSales]]/Table1[[#This Row],[Quantity]]</f>
        <v>28268.799999999999</v>
      </c>
    </row>
    <row r="881" spans="1:15" x14ac:dyDescent="0.35">
      <c r="A881" t="s">
        <v>939</v>
      </c>
      <c r="B881" s="1">
        <v>45364</v>
      </c>
      <c r="C881" t="s">
        <v>46</v>
      </c>
      <c r="D881" t="s">
        <v>79</v>
      </c>
      <c r="E881" t="s">
        <v>28</v>
      </c>
      <c r="F881" t="s">
        <v>76</v>
      </c>
      <c r="G881" t="s">
        <v>49</v>
      </c>
      <c r="H881">
        <v>13</v>
      </c>
      <c r="I881">
        <v>19166.41</v>
      </c>
      <c r="J881" s="2">
        <v>0.05</v>
      </c>
      <c r="K881" t="s">
        <v>44</v>
      </c>
      <c r="L881">
        <v>236705.16</v>
      </c>
      <c r="M881" t="str">
        <f>TEXT(Table1[[#This Row],[OrderDate]], "mmm")</f>
        <v>Mar</v>
      </c>
      <c r="N881" t="str">
        <f>IF(Table1[[#This Row],[TotalSales]]&gt;50000,"High",IF(L881&gt;20000,"Medium","Low"))</f>
        <v>High</v>
      </c>
      <c r="O881">
        <f>Table1[[#This Row],[TotalSales]]/Table1[[#This Row],[Quantity]]</f>
        <v>18208.08923076923</v>
      </c>
    </row>
    <row r="882" spans="1:15" x14ac:dyDescent="0.35">
      <c r="A882" t="s">
        <v>940</v>
      </c>
      <c r="B882" s="1">
        <v>45515</v>
      </c>
      <c r="C882" t="s">
        <v>20</v>
      </c>
      <c r="D882" t="s">
        <v>27</v>
      </c>
      <c r="E882" t="s">
        <v>15</v>
      </c>
      <c r="F882" t="s">
        <v>59</v>
      </c>
      <c r="G882" t="s">
        <v>83</v>
      </c>
      <c r="H882">
        <v>2</v>
      </c>
      <c r="I882">
        <v>39882.559999999998</v>
      </c>
      <c r="J882" s="2">
        <v>0</v>
      </c>
      <c r="K882" t="s">
        <v>31</v>
      </c>
      <c r="L882">
        <v>79765.119999999995</v>
      </c>
      <c r="M882" t="str">
        <f>TEXT(Table1[[#This Row],[OrderDate]], "mmm")</f>
        <v>Aug</v>
      </c>
      <c r="N882" t="str">
        <f>IF(Table1[[#This Row],[TotalSales]]&gt;50000,"High",IF(L882&gt;20000,"Medium","Low"))</f>
        <v>High</v>
      </c>
      <c r="O882">
        <f>Table1[[#This Row],[TotalSales]]/Table1[[#This Row],[Quantity]]</f>
        <v>39882.559999999998</v>
      </c>
    </row>
    <row r="883" spans="1:15" x14ac:dyDescent="0.35">
      <c r="A883" t="s">
        <v>941</v>
      </c>
      <c r="B883" s="1">
        <v>45634</v>
      </c>
      <c r="C883" t="s">
        <v>20</v>
      </c>
      <c r="D883" t="s">
        <v>97</v>
      </c>
      <c r="E883" t="s">
        <v>34</v>
      </c>
      <c r="F883" t="s">
        <v>88</v>
      </c>
      <c r="G883" t="s">
        <v>24</v>
      </c>
      <c r="H883">
        <v>7</v>
      </c>
      <c r="I883">
        <v>45757.82</v>
      </c>
      <c r="J883" s="2">
        <v>0.15</v>
      </c>
      <c r="K883" t="s">
        <v>25</v>
      </c>
      <c r="L883">
        <v>272259.03000000003</v>
      </c>
      <c r="M883" t="str">
        <f>TEXT(Table1[[#This Row],[OrderDate]], "mmm")</f>
        <v>Dec</v>
      </c>
      <c r="N883" t="str">
        <f>IF(Table1[[#This Row],[TotalSales]]&gt;50000,"High",IF(L883&gt;20000,"Medium","Low"))</f>
        <v>High</v>
      </c>
      <c r="O883">
        <f>Table1[[#This Row],[TotalSales]]/Table1[[#This Row],[Quantity]]</f>
        <v>38894.147142857146</v>
      </c>
    </row>
    <row r="884" spans="1:15" x14ac:dyDescent="0.35">
      <c r="A884" t="s">
        <v>942</v>
      </c>
      <c r="B884" s="1">
        <v>45493</v>
      </c>
      <c r="C884" t="s">
        <v>40</v>
      </c>
      <c r="D884" t="s">
        <v>51</v>
      </c>
      <c r="E884" t="s">
        <v>28</v>
      </c>
      <c r="F884" t="s">
        <v>29</v>
      </c>
      <c r="G884" t="s">
        <v>24</v>
      </c>
      <c r="H884">
        <v>9</v>
      </c>
      <c r="I884">
        <v>4126.79</v>
      </c>
      <c r="J884" s="2">
        <v>0.05</v>
      </c>
      <c r="K884" t="s">
        <v>18</v>
      </c>
      <c r="L884">
        <v>35284.050000000003</v>
      </c>
      <c r="M884" t="str">
        <f>TEXT(Table1[[#This Row],[OrderDate]], "mmm")</f>
        <v>Jul</v>
      </c>
      <c r="N884" t="str">
        <f>IF(Table1[[#This Row],[TotalSales]]&gt;50000,"High",IF(L884&gt;20000,"Medium","Low"))</f>
        <v>Medium</v>
      </c>
      <c r="O884">
        <f>Table1[[#This Row],[TotalSales]]/Table1[[#This Row],[Quantity]]</f>
        <v>3920.4500000000003</v>
      </c>
    </row>
    <row r="885" spans="1:15" x14ac:dyDescent="0.35">
      <c r="A885" t="s">
        <v>943</v>
      </c>
      <c r="B885" s="1">
        <v>45292</v>
      </c>
      <c r="C885" t="s">
        <v>13</v>
      </c>
      <c r="D885" t="s">
        <v>33</v>
      </c>
      <c r="E885" t="s">
        <v>28</v>
      </c>
      <c r="F885" t="s">
        <v>29</v>
      </c>
      <c r="G885" t="s">
        <v>69</v>
      </c>
      <c r="H885">
        <v>10</v>
      </c>
      <c r="I885">
        <v>33034.53</v>
      </c>
      <c r="J885" s="2">
        <v>0.05</v>
      </c>
      <c r="K885" t="s">
        <v>44</v>
      </c>
      <c r="L885">
        <v>313828.03000000003</v>
      </c>
      <c r="M885" t="str">
        <f>TEXT(Table1[[#This Row],[OrderDate]], "mmm")</f>
        <v>Jan</v>
      </c>
      <c r="N885" t="str">
        <f>IF(Table1[[#This Row],[TotalSales]]&gt;50000,"High",IF(L885&gt;20000,"Medium","Low"))</f>
        <v>High</v>
      </c>
      <c r="O885">
        <f>Table1[[#This Row],[TotalSales]]/Table1[[#This Row],[Quantity]]</f>
        <v>31382.803000000004</v>
      </c>
    </row>
    <row r="886" spans="1:15" x14ac:dyDescent="0.35">
      <c r="A886" t="s">
        <v>944</v>
      </c>
      <c r="B886" s="1">
        <v>45626</v>
      </c>
      <c r="C886" t="s">
        <v>13</v>
      </c>
      <c r="D886" t="s">
        <v>37</v>
      </c>
      <c r="E886" t="s">
        <v>34</v>
      </c>
      <c r="F886" t="s">
        <v>35</v>
      </c>
      <c r="G886" t="s">
        <v>66</v>
      </c>
      <c r="H886">
        <v>3</v>
      </c>
      <c r="I886">
        <v>23528.98</v>
      </c>
      <c r="J886" s="2">
        <v>0</v>
      </c>
      <c r="K886" t="s">
        <v>18</v>
      </c>
      <c r="L886">
        <v>70586.94</v>
      </c>
      <c r="M886" t="str">
        <f>TEXT(Table1[[#This Row],[OrderDate]], "mmm")</f>
        <v>Nov</v>
      </c>
      <c r="N886" t="str">
        <f>IF(Table1[[#This Row],[TotalSales]]&gt;50000,"High",IF(L886&gt;20000,"Medium","Low"))</f>
        <v>High</v>
      </c>
      <c r="O886">
        <f>Table1[[#This Row],[TotalSales]]/Table1[[#This Row],[Quantity]]</f>
        <v>23528.98</v>
      </c>
    </row>
    <row r="887" spans="1:15" x14ac:dyDescent="0.35">
      <c r="A887" t="s">
        <v>945</v>
      </c>
      <c r="B887" s="1">
        <v>45334</v>
      </c>
      <c r="C887" t="s">
        <v>46</v>
      </c>
      <c r="D887" t="s">
        <v>79</v>
      </c>
      <c r="E887" t="s">
        <v>22</v>
      </c>
      <c r="F887" t="s">
        <v>82</v>
      </c>
      <c r="G887" t="s">
        <v>24</v>
      </c>
      <c r="H887">
        <v>6</v>
      </c>
      <c r="I887">
        <v>37796.400000000001</v>
      </c>
      <c r="J887" s="2">
        <v>0</v>
      </c>
      <c r="K887" t="s">
        <v>25</v>
      </c>
      <c r="L887">
        <v>226778.4</v>
      </c>
      <c r="M887" t="str">
        <f>TEXT(Table1[[#This Row],[OrderDate]], "mmm")</f>
        <v>Feb</v>
      </c>
      <c r="N887" t="str">
        <f>IF(Table1[[#This Row],[TotalSales]]&gt;50000,"High",IF(L887&gt;20000,"Medium","Low"))</f>
        <v>High</v>
      </c>
      <c r="O887">
        <f>Table1[[#This Row],[TotalSales]]/Table1[[#This Row],[Quantity]]</f>
        <v>37796.400000000001</v>
      </c>
    </row>
    <row r="888" spans="1:15" x14ac:dyDescent="0.35">
      <c r="A888" t="s">
        <v>946</v>
      </c>
      <c r="B888" s="1">
        <v>45635</v>
      </c>
      <c r="C888" t="s">
        <v>40</v>
      </c>
      <c r="D888" t="s">
        <v>51</v>
      </c>
      <c r="E888" t="s">
        <v>34</v>
      </c>
      <c r="F888" t="s">
        <v>35</v>
      </c>
      <c r="G888" t="s">
        <v>30</v>
      </c>
      <c r="H888">
        <v>7</v>
      </c>
      <c r="I888">
        <v>23350.65</v>
      </c>
      <c r="J888" s="2">
        <v>0</v>
      </c>
      <c r="K888" t="s">
        <v>44</v>
      </c>
      <c r="L888">
        <v>163454.54999999999</v>
      </c>
      <c r="M888" t="str">
        <f>TEXT(Table1[[#This Row],[OrderDate]], "mmm")</f>
        <v>Dec</v>
      </c>
      <c r="N888" t="str">
        <f>IF(Table1[[#This Row],[TotalSales]]&gt;50000,"High",IF(L888&gt;20000,"Medium","Low"))</f>
        <v>High</v>
      </c>
      <c r="O888">
        <f>Table1[[#This Row],[TotalSales]]/Table1[[#This Row],[Quantity]]</f>
        <v>23350.649999999998</v>
      </c>
    </row>
    <row r="889" spans="1:15" x14ac:dyDescent="0.35">
      <c r="A889" t="s">
        <v>947</v>
      </c>
      <c r="B889" s="1">
        <v>45383</v>
      </c>
      <c r="C889" t="s">
        <v>13</v>
      </c>
      <c r="D889" t="s">
        <v>14</v>
      </c>
      <c r="E889" t="s">
        <v>34</v>
      </c>
      <c r="F889" t="s">
        <v>48</v>
      </c>
      <c r="G889" t="s">
        <v>49</v>
      </c>
      <c r="H889">
        <v>7</v>
      </c>
      <c r="I889">
        <v>29337.8</v>
      </c>
      <c r="J889" s="2">
        <v>0.05</v>
      </c>
      <c r="K889" t="s">
        <v>18</v>
      </c>
      <c r="L889">
        <v>195096.37</v>
      </c>
      <c r="M889" t="str">
        <f>TEXT(Table1[[#This Row],[OrderDate]], "mmm")</f>
        <v>Apr</v>
      </c>
      <c r="N889" t="str">
        <f>IF(Table1[[#This Row],[TotalSales]]&gt;50000,"High",IF(L889&gt;20000,"Medium","Low"))</f>
        <v>High</v>
      </c>
      <c r="O889">
        <f>Table1[[#This Row],[TotalSales]]/Table1[[#This Row],[Quantity]]</f>
        <v>27870.91</v>
      </c>
    </row>
    <row r="890" spans="1:15" x14ac:dyDescent="0.35">
      <c r="A890" t="s">
        <v>948</v>
      </c>
      <c r="B890" s="1">
        <v>45436</v>
      </c>
      <c r="C890" t="s">
        <v>46</v>
      </c>
      <c r="D890" t="s">
        <v>79</v>
      </c>
      <c r="E890" t="s">
        <v>34</v>
      </c>
      <c r="F890" t="s">
        <v>88</v>
      </c>
      <c r="G890" t="s">
        <v>66</v>
      </c>
      <c r="H890">
        <v>1</v>
      </c>
      <c r="I890">
        <v>6861.02</v>
      </c>
      <c r="J890" s="2">
        <v>0.05</v>
      </c>
      <c r="K890" t="s">
        <v>44</v>
      </c>
      <c r="L890">
        <v>6517.97</v>
      </c>
      <c r="M890" t="str">
        <f>TEXT(Table1[[#This Row],[OrderDate]], "mmm")</f>
        <v>May</v>
      </c>
      <c r="N890" t="str">
        <f>IF(Table1[[#This Row],[TotalSales]]&gt;50000,"High",IF(L890&gt;20000,"Medium","Low"))</f>
        <v>Low</v>
      </c>
      <c r="O890">
        <f>Table1[[#This Row],[TotalSales]]/Table1[[#This Row],[Quantity]]</f>
        <v>6517.97</v>
      </c>
    </row>
    <row r="891" spans="1:15" x14ac:dyDescent="0.35">
      <c r="A891" t="s">
        <v>949</v>
      </c>
      <c r="B891" s="1">
        <v>45442</v>
      </c>
      <c r="C891" t="s">
        <v>13</v>
      </c>
      <c r="D891" t="s">
        <v>14</v>
      </c>
      <c r="E891" t="s">
        <v>28</v>
      </c>
      <c r="F891" t="s">
        <v>76</v>
      </c>
      <c r="G891" t="s">
        <v>43</v>
      </c>
      <c r="H891">
        <v>6</v>
      </c>
      <c r="I891">
        <v>23054.9</v>
      </c>
      <c r="J891" s="2">
        <v>0.05</v>
      </c>
      <c r="K891" t="s">
        <v>25</v>
      </c>
      <c r="L891">
        <v>131412.93</v>
      </c>
      <c r="M891" t="str">
        <f>TEXT(Table1[[#This Row],[OrderDate]], "mmm")</f>
        <v>May</v>
      </c>
      <c r="N891" t="str">
        <f>IF(Table1[[#This Row],[TotalSales]]&gt;50000,"High",IF(L891&gt;20000,"Medium","Low"))</f>
        <v>High</v>
      </c>
      <c r="O891">
        <f>Table1[[#This Row],[TotalSales]]/Table1[[#This Row],[Quantity]]</f>
        <v>21902.154999999999</v>
      </c>
    </row>
    <row r="892" spans="1:15" x14ac:dyDescent="0.35">
      <c r="A892" t="s">
        <v>950</v>
      </c>
      <c r="B892" s="1">
        <v>45340</v>
      </c>
      <c r="C892" t="s">
        <v>46</v>
      </c>
      <c r="D892" t="s">
        <v>71</v>
      </c>
      <c r="E892" t="s">
        <v>22</v>
      </c>
      <c r="F892" t="s">
        <v>42</v>
      </c>
      <c r="G892" t="s">
        <v>69</v>
      </c>
      <c r="H892">
        <v>3</v>
      </c>
      <c r="I892">
        <v>40027.949999999997</v>
      </c>
      <c r="J892" s="2">
        <v>0.15</v>
      </c>
      <c r="K892" t="s">
        <v>25</v>
      </c>
      <c r="L892">
        <v>102071.27</v>
      </c>
      <c r="M892" t="str">
        <f>TEXT(Table1[[#This Row],[OrderDate]], "mmm")</f>
        <v>Feb</v>
      </c>
      <c r="N892" t="str">
        <f>IF(Table1[[#This Row],[TotalSales]]&gt;50000,"High",IF(L892&gt;20000,"Medium","Low"))</f>
        <v>High</v>
      </c>
      <c r="O892">
        <f>Table1[[#This Row],[TotalSales]]/Table1[[#This Row],[Quantity]]</f>
        <v>34023.756666666668</v>
      </c>
    </row>
    <row r="893" spans="1:15" x14ac:dyDescent="0.35">
      <c r="A893" t="s">
        <v>951</v>
      </c>
      <c r="B893" s="1">
        <v>45311</v>
      </c>
      <c r="C893" t="s">
        <v>13</v>
      </c>
      <c r="D893" t="s">
        <v>37</v>
      </c>
      <c r="E893" t="s">
        <v>15</v>
      </c>
      <c r="F893" t="s">
        <v>16</v>
      </c>
      <c r="G893" t="s">
        <v>17</v>
      </c>
      <c r="H893">
        <v>3</v>
      </c>
      <c r="I893">
        <v>33592.57</v>
      </c>
      <c r="J893" s="2">
        <v>0.15</v>
      </c>
      <c r="K893" t="s">
        <v>44</v>
      </c>
      <c r="L893">
        <v>85661.05</v>
      </c>
      <c r="M893" t="str">
        <f>TEXT(Table1[[#This Row],[OrderDate]], "mmm")</f>
        <v>Jan</v>
      </c>
      <c r="N893" t="str">
        <f>IF(Table1[[#This Row],[TotalSales]]&gt;50000,"High",IF(L893&gt;20000,"Medium","Low"))</f>
        <v>High</v>
      </c>
      <c r="O893">
        <f>Table1[[#This Row],[TotalSales]]/Table1[[#This Row],[Quantity]]</f>
        <v>28553.683333333334</v>
      </c>
    </row>
    <row r="894" spans="1:15" x14ac:dyDescent="0.35">
      <c r="A894" t="s">
        <v>952</v>
      </c>
      <c r="B894" s="1">
        <v>45386</v>
      </c>
      <c r="C894" t="s">
        <v>40</v>
      </c>
      <c r="D894" t="s">
        <v>55</v>
      </c>
      <c r="E894" t="s">
        <v>28</v>
      </c>
      <c r="F894" t="s">
        <v>104</v>
      </c>
      <c r="G894" t="s">
        <v>69</v>
      </c>
      <c r="H894">
        <v>12</v>
      </c>
      <c r="I894">
        <v>14275.82</v>
      </c>
      <c r="J894" s="2">
        <v>0.15</v>
      </c>
      <c r="K894" t="s">
        <v>44</v>
      </c>
      <c r="L894">
        <v>145613.35999999999</v>
      </c>
      <c r="M894" t="str">
        <f>TEXT(Table1[[#This Row],[OrderDate]], "mmm")</f>
        <v>Apr</v>
      </c>
      <c r="N894" t="str">
        <f>IF(Table1[[#This Row],[TotalSales]]&gt;50000,"High",IF(L894&gt;20000,"Medium","Low"))</f>
        <v>High</v>
      </c>
      <c r="O894">
        <f>Table1[[#This Row],[TotalSales]]/Table1[[#This Row],[Quantity]]</f>
        <v>12134.446666666665</v>
      </c>
    </row>
    <row r="895" spans="1:15" x14ac:dyDescent="0.35">
      <c r="A895" t="s">
        <v>953</v>
      </c>
      <c r="B895" s="1">
        <v>45585</v>
      </c>
      <c r="C895" t="s">
        <v>46</v>
      </c>
      <c r="D895" t="s">
        <v>79</v>
      </c>
      <c r="E895" t="s">
        <v>28</v>
      </c>
      <c r="F895" t="s">
        <v>125</v>
      </c>
      <c r="G895" t="s">
        <v>43</v>
      </c>
      <c r="H895">
        <v>8</v>
      </c>
      <c r="I895">
        <v>11993.47</v>
      </c>
      <c r="J895" s="2">
        <v>0.05</v>
      </c>
      <c r="K895" t="s">
        <v>25</v>
      </c>
      <c r="L895">
        <v>91150.37</v>
      </c>
      <c r="M895" t="str">
        <f>TEXT(Table1[[#This Row],[OrderDate]], "mmm")</f>
        <v>Oct</v>
      </c>
      <c r="N895" t="str">
        <f>IF(Table1[[#This Row],[TotalSales]]&gt;50000,"High",IF(L895&gt;20000,"Medium","Low"))</f>
        <v>High</v>
      </c>
      <c r="O895">
        <f>Table1[[#This Row],[TotalSales]]/Table1[[#This Row],[Quantity]]</f>
        <v>11393.796249999999</v>
      </c>
    </row>
    <row r="896" spans="1:15" x14ac:dyDescent="0.35">
      <c r="A896" t="s">
        <v>954</v>
      </c>
      <c r="B896" s="1">
        <v>45500</v>
      </c>
      <c r="C896" t="s">
        <v>13</v>
      </c>
      <c r="D896" t="s">
        <v>14</v>
      </c>
      <c r="E896" t="s">
        <v>22</v>
      </c>
      <c r="F896" t="s">
        <v>52</v>
      </c>
      <c r="G896" t="s">
        <v>83</v>
      </c>
      <c r="H896">
        <v>4</v>
      </c>
      <c r="I896">
        <v>1225.8</v>
      </c>
      <c r="J896" s="2">
        <v>0.05</v>
      </c>
      <c r="K896" t="s">
        <v>31</v>
      </c>
      <c r="L896">
        <v>4658.04</v>
      </c>
      <c r="M896" t="str">
        <f>TEXT(Table1[[#This Row],[OrderDate]], "mmm")</f>
        <v>Jul</v>
      </c>
      <c r="N896" t="str">
        <f>IF(Table1[[#This Row],[TotalSales]]&gt;50000,"High",IF(L896&gt;20000,"Medium","Low"))</f>
        <v>Low</v>
      </c>
      <c r="O896">
        <f>Table1[[#This Row],[TotalSales]]/Table1[[#This Row],[Quantity]]</f>
        <v>1164.51</v>
      </c>
    </row>
    <row r="897" spans="1:15" x14ac:dyDescent="0.35">
      <c r="A897" t="s">
        <v>955</v>
      </c>
      <c r="B897" s="1">
        <v>45458</v>
      </c>
      <c r="C897" t="s">
        <v>46</v>
      </c>
      <c r="D897" t="s">
        <v>71</v>
      </c>
      <c r="E897" t="s">
        <v>22</v>
      </c>
      <c r="F897" t="s">
        <v>42</v>
      </c>
      <c r="G897" t="s">
        <v>83</v>
      </c>
      <c r="H897">
        <v>4</v>
      </c>
      <c r="I897">
        <v>3691.99</v>
      </c>
      <c r="J897" s="2">
        <v>0</v>
      </c>
      <c r="K897" t="s">
        <v>25</v>
      </c>
      <c r="L897">
        <v>14767.96</v>
      </c>
      <c r="M897" t="str">
        <f>TEXT(Table1[[#This Row],[OrderDate]], "mmm")</f>
        <v>Jun</v>
      </c>
      <c r="N897" t="str">
        <f>IF(Table1[[#This Row],[TotalSales]]&gt;50000,"High",IF(L897&gt;20000,"Medium","Low"))</f>
        <v>Low</v>
      </c>
      <c r="O897">
        <f>Table1[[#This Row],[TotalSales]]/Table1[[#This Row],[Quantity]]</f>
        <v>3691.99</v>
      </c>
    </row>
    <row r="898" spans="1:15" x14ac:dyDescent="0.35">
      <c r="A898" t="s">
        <v>956</v>
      </c>
      <c r="B898" s="1">
        <v>45455</v>
      </c>
      <c r="C898" t="s">
        <v>13</v>
      </c>
      <c r="D898" t="s">
        <v>37</v>
      </c>
      <c r="E898" t="s">
        <v>34</v>
      </c>
      <c r="F898" t="s">
        <v>35</v>
      </c>
      <c r="G898" t="s">
        <v>66</v>
      </c>
      <c r="H898">
        <v>6</v>
      </c>
      <c r="I898">
        <v>45280.05</v>
      </c>
      <c r="J898" s="2">
        <v>0</v>
      </c>
      <c r="K898" t="s">
        <v>44</v>
      </c>
      <c r="L898">
        <v>271680.3</v>
      </c>
      <c r="M898" t="str">
        <f>TEXT(Table1[[#This Row],[OrderDate]], "mmm")</f>
        <v>Jun</v>
      </c>
      <c r="N898" t="str">
        <f>IF(Table1[[#This Row],[TotalSales]]&gt;50000,"High",IF(L898&gt;20000,"Medium","Low"))</f>
        <v>High</v>
      </c>
      <c r="O898">
        <f>Table1[[#This Row],[TotalSales]]/Table1[[#This Row],[Quantity]]</f>
        <v>45280.049999999996</v>
      </c>
    </row>
    <row r="899" spans="1:15" x14ac:dyDescent="0.35">
      <c r="A899" t="s">
        <v>957</v>
      </c>
      <c r="B899" s="1">
        <v>45541</v>
      </c>
      <c r="C899" t="s">
        <v>46</v>
      </c>
      <c r="D899" t="s">
        <v>71</v>
      </c>
      <c r="E899" t="s">
        <v>34</v>
      </c>
      <c r="F899" t="s">
        <v>35</v>
      </c>
      <c r="G899" t="s">
        <v>83</v>
      </c>
      <c r="H899">
        <v>9</v>
      </c>
      <c r="I899">
        <v>54175.11</v>
      </c>
      <c r="J899" s="2">
        <v>0</v>
      </c>
      <c r="K899" t="s">
        <v>25</v>
      </c>
      <c r="L899">
        <v>487575.99</v>
      </c>
      <c r="M899" t="str">
        <f>TEXT(Table1[[#This Row],[OrderDate]], "mmm")</f>
        <v>Sep</v>
      </c>
      <c r="N899" t="str">
        <f>IF(Table1[[#This Row],[TotalSales]]&gt;50000,"High",IF(L899&gt;20000,"Medium","Low"))</f>
        <v>High</v>
      </c>
      <c r="O899">
        <f>Table1[[#This Row],[TotalSales]]/Table1[[#This Row],[Quantity]]</f>
        <v>54175.11</v>
      </c>
    </row>
    <row r="900" spans="1:15" x14ac:dyDescent="0.35">
      <c r="A900" t="s">
        <v>958</v>
      </c>
      <c r="B900" s="1">
        <v>45591</v>
      </c>
      <c r="C900" t="s">
        <v>20</v>
      </c>
      <c r="D900" t="s">
        <v>21</v>
      </c>
      <c r="E900" t="s">
        <v>34</v>
      </c>
      <c r="F900" t="s">
        <v>35</v>
      </c>
      <c r="G900" t="s">
        <v>30</v>
      </c>
      <c r="H900">
        <v>3</v>
      </c>
      <c r="I900">
        <v>34409.730000000003</v>
      </c>
      <c r="J900" s="2">
        <v>0.1</v>
      </c>
      <c r="K900" t="s">
        <v>18</v>
      </c>
      <c r="L900">
        <v>92906.27</v>
      </c>
      <c r="M900" t="str">
        <f>TEXT(Table1[[#This Row],[OrderDate]], "mmm")</f>
        <v>Oct</v>
      </c>
      <c r="N900" t="str">
        <f>IF(Table1[[#This Row],[TotalSales]]&gt;50000,"High",IF(L900&gt;20000,"Medium","Low"))</f>
        <v>High</v>
      </c>
      <c r="O900">
        <f>Table1[[#This Row],[TotalSales]]/Table1[[#This Row],[Quantity]]</f>
        <v>30968.756666666668</v>
      </c>
    </row>
    <row r="901" spans="1:15" x14ac:dyDescent="0.35">
      <c r="A901" t="s">
        <v>959</v>
      </c>
      <c r="B901" s="1">
        <v>45355</v>
      </c>
      <c r="C901" t="s">
        <v>40</v>
      </c>
      <c r="D901" t="s">
        <v>51</v>
      </c>
      <c r="E901" t="s">
        <v>34</v>
      </c>
      <c r="F901" t="s">
        <v>61</v>
      </c>
      <c r="G901" t="s">
        <v>66</v>
      </c>
      <c r="H901">
        <v>2</v>
      </c>
      <c r="I901">
        <v>21887.08</v>
      </c>
      <c r="J901" s="2">
        <v>0</v>
      </c>
      <c r="K901" t="s">
        <v>25</v>
      </c>
      <c r="L901">
        <v>43774.16</v>
      </c>
      <c r="M901" t="str">
        <f>TEXT(Table1[[#This Row],[OrderDate]], "mmm")</f>
        <v>Mar</v>
      </c>
      <c r="N901" t="str">
        <f>IF(Table1[[#This Row],[TotalSales]]&gt;50000,"High",IF(L901&gt;20000,"Medium","Low"))</f>
        <v>Medium</v>
      </c>
      <c r="O901">
        <f>Table1[[#This Row],[TotalSales]]/Table1[[#This Row],[Quantity]]</f>
        <v>21887.08</v>
      </c>
    </row>
    <row r="902" spans="1:15" x14ac:dyDescent="0.35">
      <c r="A902" t="s">
        <v>960</v>
      </c>
      <c r="B902" s="1">
        <v>45434</v>
      </c>
      <c r="C902" t="s">
        <v>40</v>
      </c>
      <c r="D902" t="s">
        <v>51</v>
      </c>
      <c r="E902" t="s">
        <v>28</v>
      </c>
      <c r="F902" t="s">
        <v>125</v>
      </c>
      <c r="G902" t="s">
        <v>83</v>
      </c>
      <c r="H902">
        <v>6</v>
      </c>
      <c r="I902">
        <v>42423.38</v>
      </c>
      <c r="J902" s="2">
        <v>0.15</v>
      </c>
      <c r="K902" t="s">
        <v>25</v>
      </c>
      <c r="L902">
        <v>216359.24</v>
      </c>
      <c r="M902" t="str">
        <f>TEXT(Table1[[#This Row],[OrderDate]], "mmm")</f>
        <v>May</v>
      </c>
      <c r="N902" t="str">
        <f>IF(Table1[[#This Row],[TotalSales]]&gt;50000,"High",IF(L902&gt;20000,"Medium","Low"))</f>
        <v>High</v>
      </c>
      <c r="O902">
        <f>Table1[[#This Row],[TotalSales]]/Table1[[#This Row],[Quantity]]</f>
        <v>36059.873333333329</v>
      </c>
    </row>
    <row r="903" spans="1:15" x14ac:dyDescent="0.35">
      <c r="A903" t="s">
        <v>961</v>
      </c>
      <c r="B903" s="1">
        <v>45438</v>
      </c>
      <c r="C903" t="s">
        <v>40</v>
      </c>
      <c r="D903" t="s">
        <v>41</v>
      </c>
      <c r="E903" t="s">
        <v>22</v>
      </c>
      <c r="F903" t="s">
        <v>82</v>
      </c>
      <c r="G903" t="s">
        <v>83</v>
      </c>
      <c r="H903">
        <v>14</v>
      </c>
      <c r="I903">
        <v>50865.36</v>
      </c>
      <c r="J903" s="2">
        <v>0</v>
      </c>
      <c r="K903" t="s">
        <v>25</v>
      </c>
      <c r="L903">
        <v>712115.04</v>
      </c>
      <c r="M903" t="str">
        <f>TEXT(Table1[[#This Row],[OrderDate]], "mmm")</f>
        <v>May</v>
      </c>
      <c r="N903" t="str">
        <f>IF(Table1[[#This Row],[TotalSales]]&gt;50000,"High",IF(L903&gt;20000,"Medium","Low"))</f>
        <v>High</v>
      </c>
      <c r="O903">
        <f>Table1[[#This Row],[TotalSales]]/Table1[[#This Row],[Quantity]]</f>
        <v>50865.36</v>
      </c>
    </row>
    <row r="904" spans="1:15" x14ac:dyDescent="0.35">
      <c r="A904" t="s">
        <v>962</v>
      </c>
      <c r="B904" s="1">
        <v>45626</v>
      </c>
      <c r="C904" t="s">
        <v>40</v>
      </c>
      <c r="D904" t="s">
        <v>51</v>
      </c>
      <c r="E904" t="s">
        <v>22</v>
      </c>
      <c r="F904" t="s">
        <v>23</v>
      </c>
      <c r="G904" t="s">
        <v>17</v>
      </c>
      <c r="H904">
        <v>7</v>
      </c>
      <c r="I904">
        <v>53588.76</v>
      </c>
      <c r="J904" s="2">
        <v>0.05</v>
      </c>
      <c r="K904" t="s">
        <v>25</v>
      </c>
      <c r="L904">
        <v>356365.25</v>
      </c>
      <c r="M904" t="str">
        <f>TEXT(Table1[[#This Row],[OrderDate]], "mmm")</f>
        <v>Nov</v>
      </c>
      <c r="N904" t="str">
        <f>IF(Table1[[#This Row],[TotalSales]]&gt;50000,"High",IF(L904&gt;20000,"Medium","Low"))</f>
        <v>High</v>
      </c>
      <c r="O904">
        <f>Table1[[#This Row],[TotalSales]]/Table1[[#This Row],[Quantity]]</f>
        <v>50909.321428571428</v>
      </c>
    </row>
    <row r="905" spans="1:15" x14ac:dyDescent="0.35">
      <c r="A905" t="s">
        <v>963</v>
      </c>
      <c r="B905" s="1">
        <v>45583</v>
      </c>
      <c r="C905" t="s">
        <v>20</v>
      </c>
      <c r="D905" t="s">
        <v>27</v>
      </c>
      <c r="E905" t="s">
        <v>15</v>
      </c>
      <c r="F905" t="s">
        <v>56</v>
      </c>
      <c r="G905" t="s">
        <v>66</v>
      </c>
      <c r="H905">
        <v>11</v>
      </c>
      <c r="I905">
        <v>26060.86</v>
      </c>
      <c r="J905" s="2">
        <v>0</v>
      </c>
      <c r="K905" t="s">
        <v>18</v>
      </c>
      <c r="L905">
        <v>286669.46000000002</v>
      </c>
      <c r="M905" t="str">
        <f>TEXT(Table1[[#This Row],[OrderDate]], "mmm")</f>
        <v>Oct</v>
      </c>
      <c r="N905" t="str">
        <f>IF(Table1[[#This Row],[TotalSales]]&gt;50000,"High",IF(L905&gt;20000,"Medium","Low"))</f>
        <v>High</v>
      </c>
      <c r="O905">
        <f>Table1[[#This Row],[TotalSales]]/Table1[[#This Row],[Quantity]]</f>
        <v>26060.86</v>
      </c>
    </row>
    <row r="906" spans="1:15" x14ac:dyDescent="0.35">
      <c r="A906" t="s">
        <v>964</v>
      </c>
      <c r="B906" s="1">
        <v>45414</v>
      </c>
      <c r="C906" t="s">
        <v>13</v>
      </c>
      <c r="D906" t="s">
        <v>33</v>
      </c>
      <c r="E906" t="s">
        <v>22</v>
      </c>
      <c r="F906" t="s">
        <v>82</v>
      </c>
      <c r="G906" t="s">
        <v>69</v>
      </c>
      <c r="H906">
        <v>3</v>
      </c>
      <c r="I906">
        <v>26074.86</v>
      </c>
      <c r="J906" s="2">
        <v>0.15</v>
      </c>
      <c r="K906" t="s">
        <v>25</v>
      </c>
      <c r="L906">
        <v>66490.89</v>
      </c>
      <c r="M906" t="str">
        <f>TEXT(Table1[[#This Row],[OrderDate]], "mmm")</f>
        <v>May</v>
      </c>
      <c r="N906" t="str">
        <f>IF(Table1[[#This Row],[TotalSales]]&gt;50000,"High",IF(L906&gt;20000,"Medium","Low"))</f>
        <v>High</v>
      </c>
      <c r="O906">
        <f>Table1[[#This Row],[TotalSales]]/Table1[[#This Row],[Quantity]]</f>
        <v>22163.63</v>
      </c>
    </row>
    <row r="907" spans="1:15" x14ac:dyDescent="0.35">
      <c r="A907" t="s">
        <v>965</v>
      </c>
      <c r="B907" s="1">
        <v>45382</v>
      </c>
      <c r="C907" t="s">
        <v>40</v>
      </c>
      <c r="D907" t="s">
        <v>55</v>
      </c>
      <c r="E907" t="s">
        <v>34</v>
      </c>
      <c r="F907" t="s">
        <v>61</v>
      </c>
      <c r="G907" t="s">
        <v>69</v>
      </c>
      <c r="H907">
        <v>8</v>
      </c>
      <c r="I907">
        <v>27611.78</v>
      </c>
      <c r="J907" s="2">
        <v>0</v>
      </c>
      <c r="K907" t="s">
        <v>25</v>
      </c>
      <c r="L907">
        <v>220894.24</v>
      </c>
      <c r="M907" t="str">
        <f>TEXT(Table1[[#This Row],[OrderDate]], "mmm")</f>
        <v>Mar</v>
      </c>
      <c r="N907" t="str">
        <f>IF(Table1[[#This Row],[TotalSales]]&gt;50000,"High",IF(L907&gt;20000,"Medium","Low"))</f>
        <v>High</v>
      </c>
      <c r="O907">
        <f>Table1[[#This Row],[TotalSales]]/Table1[[#This Row],[Quantity]]</f>
        <v>27611.78</v>
      </c>
    </row>
    <row r="908" spans="1:15" x14ac:dyDescent="0.35">
      <c r="A908" t="s">
        <v>966</v>
      </c>
      <c r="B908" s="1">
        <v>45638</v>
      </c>
      <c r="C908" t="s">
        <v>46</v>
      </c>
      <c r="D908" t="s">
        <v>71</v>
      </c>
      <c r="E908" t="s">
        <v>15</v>
      </c>
      <c r="F908" t="s">
        <v>16</v>
      </c>
      <c r="G908" t="s">
        <v>17</v>
      </c>
      <c r="H908">
        <v>7</v>
      </c>
      <c r="I908">
        <v>47715.040000000001</v>
      </c>
      <c r="J908" s="2">
        <v>0.05</v>
      </c>
      <c r="K908" t="s">
        <v>31</v>
      </c>
      <c r="L908">
        <v>317305.02</v>
      </c>
      <c r="M908" t="str">
        <f>TEXT(Table1[[#This Row],[OrderDate]], "mmm")</f>
        <v>Dec</v>
      </c>
      <c r="N908" t="str">
        <f>IF(Table1[[#This Row],[TotalSales]]&gt;50000,"High",IF(L908&gt;20000,"Medium","Low"))</f>
        <v>High</v>
      </c>
      <c r="O908">
        <f>Table1[[#This Row],[TotalSales]]/Table1[[#This Row],[Quantity]]</f>
        <v>45329.288571428573</v>
      </c>
    </row>
    <row r="909" spans="1:15" x14ac:dyDescent="0.35">
      <c r="A909" t="s">
        <v>967</v>
      </c>
      <c r="B909" s="1">
        <v>45495</v>
      </c>
      <c r="C909" t="s">
        <v>46</v>
      </c>
      <c r="D909" t="s">
        <v>79</v>
      </c>
      <c r="E909" t="s">
        <v>34</v>
      </c>
      <c r="F909" t="s">
        <v>88</v>
      </c>
      <c r="G909" t="s">
        <v>30</v>
      </c>
      <c r="H909">
        <v>14</v>
      </c>
      <c r="I909">
        <v>45262.9</v>
      </c>
      <c r="J909" s="2">
        <v>0.2</v>
      </c>
      <c r="K909" t="s">
        <v>25</v>
      </c>
      <c r="L909">
        <v>506944.48</v>
      </c>
      <c r="M909" t="str">
        <f>TEXT(Table1[[#This Row],[OrderDate]], "mmm")</f>
        <v>Jul</v>
      </c>
      <c r="N909" t="str">
        <f>IF(Table1[[#This Row],[TotalSales]]&gt;50000,"High",IF(L909&gt;20000,"Medium","Low"))</f>
        <v>High</v>
      </c>
      <c r="O909">
        <f>Table1[[#This Row],[TotalSales]]/Table1[[#This Row],[Quantity]]</f>
        <v>36210.32</v>
      </c>
    </row>
    <row r="910" spans="1:15" x14ac:dyDescent="0.35">
      <c r="A910" t="s">
        <v>968</v>
      </c>
      <c r="B910" s="1">
        <v>45588</v>
      </c>
      <c r="C910" t="s">
        <v>20</v>
      </c>
      <c r="D910" t="s">
        <v>97</v>
      </c>
      <c r="E910" t="s">
        <v>15</v>
      </c>
      <c r="F910" t="s">
        <v>16</v>
      </c>
      <c r="G910" t="s">
        <v>30</v>
      </c>
      <c r="H910">
        <v>13</v>
      </c>
      <c r="I910">
        <v>43580.7</v>
      </c>
      <c r="J910" s="2">
        <v>0.15</v>
      </c>
      <c r="K910" t="s">
        <v>18</v>
      </c>
      <c r="L910">
        <v>481566.73</v>
      </c>
      <c r="M910" t="str">
        <f>TEXT(Table1[[#This Row],[OrderDate]], "mmm")</f>
        <v>Oct</v>
      </c>
      <c r="N910" t="str">
        <f>IF(Table1[[#This Row],[TotalSales]]&gt;50000,"High",IF(L910&gt;20000,"Medium","Low"))</f>
        <v>High</v>
      </c>
      <c r="O910">
        <f>Table1[[#This Row],[TotalSales]]/Table1[[#This Row],[Quantity]]</f>
        <v>37043.594615384616</v>
      </c>
    </row>
    <row r="911" spans="1:15" x14ac:dyDescent="0.35">
      <c r="A911" t="s">
        <v>969</v>
      </c>
      <c r="B911" s="1">
        <v>45647</v>
      </c>
      <c r="C911" t="s">
        <v>13</v>
      </c>
      <c r="D911" t="s">
        <v>33</v>
      </c>
      <c r="E911" t="s">
        <v>28</v>
      </c>
      <c r="F911" t="s">
        <v>76</v>
      </c>
      <c r="G911" t="s">
        <v>30</v>
      </c>
      <c r="H911">
        <v>2</v>
      </c>
      <c r="I911">
        <v>25311.66</v>
      </c>
      <c r="J911" s="2">
        <v>0.15</v>
      </c>
      <c r="K911" t="s">
        <v>44</v>
      </c>
      <c r="L911">
        <v>43029.82</v>
      </c>
      <c r="M911" t="str">
        <f>TEXT(Table1[[#This Row],[OrderDate]], "mmm")</f>
        <v>Dec</v>
      </c>
      <c r="N911" t="str">
        <f>IF(Table1[[#This Row],[TotalSales]]&gt;50000,"High",IF(L911&gt;20000,"Medium","Low"))</f>
        <v>Medium</v>
      </c>
      <c r="O911">
        <f>Table1[[#This Row],[TotalSales]]/Table1[[#This Row],[Quantity]]</f>
        <v>21514.91</v>
      </c>
    </row>
    <row r="912" spans="1:15" x14ac:dyDescent="0.35">
      <c r="A912" t="s">
        <v>970</v>
      </c>
      <c r="B912" s="1">
        <v>45310</v>
      </c>
      <c r="C912" t="s">
        <v>13</v>
      </c>
      <c r="D912" t="s">
        <v>33</v>
      </c>
      <c r="E912" t="s">
        <v>34</v>
      </c>
      <c r="F912" t="s">
        <v>48</v>
      </c>
      <c r="G912" t="s">
        <v>49</v>
      </c>
      <c r="H912">
        <v>13</v>
      </c>
      <c r="I912">
        <v>7873.15</v>
      </c>
      <c r="J912" s="2">
        <v>0.1</v>
      </c>
      <c r="K912" t="s">
        <v>44</v>
      </c>
      <c r="L912">
        <v>92115.85</v>
      </c>
      <c r="M912" t="str">
        <f>TEXT(Table1[[#This Row],[OrderDate]], "mmm")</f>
        <v>Jan</v>
      </c>
      <c r="N912" t="str">
        <f>IF(Table1[[#This Row],[TotalSales]]&gt;50000,"High",IF(L912&gt;20000,"Medium","Low"))</f>
        <v>High</v>
      </c>
      <c r="O912">
        <f>Table1[[#This Row],[TotalSales]]/Table1[[#This Row],[Quantity]]</f>
        <v>7085.834615384616</v>
      </c>
    </row>
    <row r="913" spans="1:15" x14ac:dyDescent="0.35">
      <c r="A913" t="s">
        <v>971</v>
      </c>
      <c r="B913" s="1">
        <v>45517</v>
      </c>
      <c r="C913" t="s">
        <v>40</v>
      </c>
      <c r="D913" t="s">
        <v>51</v>
      </c>
      <c r="E913" t="s">
        <v>22</v>
      </c>
      <c r="F913" t="s">
        <v>52</v>
      </c>
      <c r="G913" t="s">
        <v>49</v>
      </c>
      <c r="H913">
        <v>11</v>
      </c>
      <c r="I913">
        <v>16359.4</v>
      </c>
      <c r="J913" s="2">
        <v>0.15</v>
      </c>
      <c r="K913" t="s">
        <v>18</v>
      </c>
      <c r="L913">
        <v>152960.39000000001</v>
      </c>
      <c r="M913" t="str">
        <f>TEXT(Table1[[#This Row],[OrderDate]], "mmm")</f>
        <v>Aug</v>
      </c>
      <c r="N913" t="str">
        <f>IF(Table1[[#This Row],[TotalSales]]&gt;50000,"High",IF(L913&gt;20000,"Medium","Low"))</f>
        <v>High</v>
      </c>
      <c r="O913">
        <f>Table1[[#This Row],[TotalSales]]/Table1[[#This Row],[Quantity]]</f>
        <v>13905.490000000002</v>
      </c>
    </row>
    <row r="914" spans="1:15" x14ac:dyDescent="0.35">
      <c r="A914" t="s">
        <v>972</v>
      </c>
      <c r="B914" s="1">
        <v>45591</v>
      </c>
      <c r="C914" t="s">
        <v>13</v>
      </c>
      <c r="D914" t="s">
        <v>14</v>
      </c>
      <c r="E914" t="s">
        <v>15</v>
      </c>
      <c r="F914" t="s">
        <v>59</v>
      </c>
      <c r="G914" t="s">
        <v>24</v>
      </c>
      <c r="H914">
        <v>1</v>
      </c>
      <c r="I914">
        <v>14416.28</v>
      </c>
      <c r="J914" s="2">
        <v>0.15</v>
      </c>
      <c r="K914" t="s">
        <v>44</v>
      </c>
      <c r="L914">
        <v>12253.84</v>
      </c>
      <c r="M914" t="str">
        <f>TEXT(Table1[[#This Row],[OrderDate]], "mmm")</f>
        <v>Oct</v>
      </c>
      <c r="N914" t="str">
        <f>IF(Table1[[#This Row],[TotalSales]]&gt;50000,"High",IF(L914&gt;20000,"Medium","Low"))</f>
        <v>Low</v>
      </c>
      <c r="O914">
        <f>Table1[[#This Row],[TotalSales]]/Table1[[#This Row],[Quantity]]</f>
        <v>12253.84</v>
      </c>
    </row>
    <row r="915" spans="1:15" x14ac:dyDescent="0.35">
      <c r="A915" t="s">
        <v>973</v>
      </c>
      <c r="B915" s="1">
        <v>45540</v>
      </c>
      <c r="C915" t="s">
        <v>13</v>
      </c>
      <c r="D915" t="s">
        <v>37</v>
      </c>
      <c r="E915" t="s">
        <v>22</v>
      </c>
      <c r="F915" t="s">
        <v>52</v>
      </c>
      <c r="G915" t="s">
        <v>17</v>
      </c>
      <c r="H915">
        <v>11</v>
      </c>
      <c r="I915">
        <v>9467.82</v>
      </c>
      <c r="J915" s="2">
        <v>0.1</v>
      </c>
      <c r="K915" t="s">
        <v>44</v>
      </c>
      <c r="L915">
        <v>93731.42</v>
      </c>
      <c r="M915" t="str">
        <f>TEXT(Table1[[#This Row],[OrderDate]], "mmm")</f>
        <v>Sep</v>
      </c>
      <c r="N915" t="str">
        <f>IF(Table1[[#This Row],[TotalSales]]&gt;50000,"High",IF(L915&gt;20000,"Medium","Low"))</f>
        <v>High</v>
      </c>
      <c r="O915">
        <f>Table1[[#This Row],[TotalSales]]/Table1[[#This Row],[Quantity]]</f>
        <v>8521.0381818181813</v>
      </c>
    </row>
    <row r="916" spans="1:15" x14ac:dyDescent="0.35">
      <c r="A916" t="s">
        <v>974</v>
      </c>
      <c r="B916" s="1">
        <v>45368</v>
      </c>
      <c r="C916" t="s">
        <v>20</v>
      </c>
      <c r="D916" t="s">
        <v>27</v>
      </c>
      <c r="E916" t="s">
        <v>22</v>
      </c>
      <c r="F916" t="s">
        <v>52</v>
      </c>
      <c r="G916" t="s">
        <v>43</v>
      </c>
      <c r="H916">
        <v>5</v>
      </c>
      <c r="I916">
        <v>33553.54</v>
      </c>
      <c r="J916" s="2">
        <v>0.15</v>
      </c>
      <c r="K916" t="s">
        <v>18</v>
      </c>
      <c r="L916">
        <v>142602.54999999999</v>
      </c>
      <c r="M916" t="str">
        <f>TEXT(Table1[[#This Row],[OrderDate]], "mmm")</f>
        <v>Mar</v>
      </c>
      <c r="N916" t="str">
        <f>IF(Table1[[#This Row],[TotalSales]]&gt;50000,"High",IF(L916&gt;20000,"Medium","Low"))</f>
        <v>High</v>
      </c>
      <c r="O916">
        <f>Table1[[#This Row],[TotalSales]]/Table1[[#This Row],[Quantity]]</f>
        <v>28520.51</v>
      </c>
    </row>
    <row r="917" spans="1:15" x14ac:dyDescent="0.35">
      <c r="A917" t="s">
        <v>975</v>
      </c>
      <c r="B917" s="1">
        <v>45612</v>
      </c>
      <c r="C917" t="s">
        <v>46</v>
      </c>
      <c r="D917" t="s">
        <v>79</v>
      </c>
      <c r="E917" t="s">
        <v>22</v>
      </c>
      <c r="F917" t="s">
        <v>52</v>
      </c>
      <c r="G917" t="s">
        <v>17</v>
      </c>
      <c r="H917">
        <v>2</v>
      </c>
      <c r="I917">
        <v>52371.15</v>
      </c>
      <c r="J917" s="2">
        <v>0.1</v>
      </c>
      <c r="K917" t="s">
        <v>31</v>
      </c>
      <c r="L917">
        <v>94268.07</v>
      </c>
      <c r="M917" t="str">
        <f>TEXT(Table1[[#This Row],[OrderDate]], "mmm")</f>
        <v>Nov</v>
      </c>
      <c r="N917" t="str">
        <f>IF(Table1[[#This Row],[TotalSales]]&gt;50000,"High",IF(L917&gt;20000,"Medium","Low"))</f>
        <v>High</v>
      </c>
      <c r="O917">
        <f>Table1[[#This Row],[TotalSales]]/Table1[[#This Row],[Quantity]]</f>
        <v>47134.035000000003</v>
      </c>
    </row>
    <row r="918" spans="1:15" x14ac:dyDescent="0.35">
      <c r="A918" t="s">
        <v>976</v>
      </c>
      <c r="B918" s="1">
        <v>45385</v>
      </c>
      <c r="C918" t="s">
        <v>20</v>
      </c>
      <c r="D918" t="s">
        <v>97</v>
      </c>
      <c r="E918" t="s">
        <v>34</v>
      </c>
      <c r="F918" t="s">
        <v>61</v>
      </c>
      <c r="G918" t="s">
        <v>49</v>
      </c>
      <c r="H918">
        <v>12</v>
      </c>
      <c r="I918">
        <v>51511.07</v>
      </c>
      <c r="J918" s="2">
        <v>0.2</v>
      </c>
      <c r="K918" t="s">
        <v>44</v>
      </c>
      <c r="L918">
        <v>494506.27</v>
      </c>
      <c r="M918" t="str">
        <f>TEXT(Table1[[#This Row],[OrderDate]], "mmm")</f>
        <v>Apr</v>
      </c>
      <c r="N918" t="str">
        <f>IF(Table1[[#This Row],[TotalSales]]&gt;50000,"High",IF(L918&gt;20000,"Medium","Low"))</f>
        <v>High</v>
      </c>
      <c r="O918">
        <f>Table1[[#This Row],[TotalSales]]/Table1[[#This Row],[Quantity]]</f>
        <v>41208.855833333335</v>
      </c>
    </row>
    <row r="919" spans="1:15" x14ac:dyDescent="0.35">
      <c r="A919" t="s">
        <v>977</v>
      </c>
      <c r="B919" s="1">
        <v>45559</v>
      </c>
      <c r="C919" t="s">
        <v>46</v>
      </c>
      <c r="D919" t="s">
        <v>47</v>
      </c>
      <c r="E919" t="s">
        <v>15</v>
      </c>
      <c r="F919" t="s">
        <v>59</v>
      </c>
      <c r="G919" t="s">
        <v>43</v>
      </c>
      <c r="H919">
        <v>5</v>
      </c>
      <c r="I919">
        <v>3535.41</v>
      </c>
      <c r="J919" s="2">
        <v>0</v>
      </c>
      <c r="K919" t="s">
        <v>44</v>
      </c>
      <c r="L919">
        <v>17677.05</v>
      </c>
      <c r="M919" t="str">
        <f>TEXT(Table1[[#This Row],[OrderDate]], "mmm")</f>
        <v>Sep</v>
      </c>
      <c r="N919" t="str">
        <f>IF(Table1[[#This Row],[TotalSales]]&gt;50000,"High",IF(L919&gt;20000,"Medium","Low"))</f>
        <v>Low</v>
      </c>
      <c r="O919">
        <f>Table1[[#This Row],[TotalSales]]/Table1[[#This Row],[Quantity]]</f>
        <v>3535.41</v>
      </c>
    </row>
    <row r="920" spans="1:15" x14ac:dyDescent="0.35">
      <c r="A920" t="s">
        <v>978</v>
      </c>
      <c r="B920" s="1">
        <v>45518</v>
      </c>
      <c r="C920" t="s">
        <v>40</v>
      </c>
      <c r="D920" t="s">
        <v>55</v>
      </c>
      <c r="E920" t="s">
        <v>15</v>
      </c>
      <c r="F920" t="s">
        <v>59</v>
      </c>
      <c r="G920" t="s">
        <v>66</v>
      </c>
      <c r="H920">
        <v>2</v>
      </c>
      <c r="I920">
        <v>26286.76</v>
      </c>
      <c r="J920" s="2">
        <v>0</v>
      </c>
      <c r="K920" t="s">
        <v>31</v>
      </c>
      <c r="L920">
        <v>52573.52</v>
      </c>
      <c r="M920" t="str">
        <f>TEXT(Table1[[#This Row],[OrderDate]], "mmm")</f>
        <v>Aug</v>
      </c>
      <c r="N920" t="str">
        <f>IF(Table1[[#This Row],[TotalSales]]&gt;50000,"High",IF(L920&gt;20000,"Medium","Low"))</f>
        <v>High</v>
      </c>
      <c r="O920">
        <f>Table1[[#This Row],[TotalSales]]/Table1[[#This Row],[Quantity]]</f>
        <v>26286.76</v>
      </c>
    </row>
    <row r="921" spans="1:15" x14ac:dyDescent="0.35">
      <c r="A921" t="s">
        <v>979</v>
      </c>
      <c r="B921" s="1">
        <v>45420</v>
      </c>
      <c r="C921" t="s">
        <v>40</v>
      </c>
      <c r="D921" t="s">
        <v>55</v>
      </c>
      <c r="E921" t="s">
        <v>34</v>
      </c>
      <c r="F921" t="s">
        <v>61</v>
      </c>
      <c r="G921" t="s">
        <v>49</v>
      </c>
      <c r="H921">
        <v>13</v>
      </c>
      <c r="I921">
        <v>22512.85</v>
      </c>
      <c r="J921" s="2">
        <v>0</v>
      </c>
      <c r="K921" t="s">
        <v>44</v>
      </c>
      <c r="L921">
        <v>292667.05</v>
      </c>
      <c r="M921" t="str">
        <f>TEXT(Table1[[#This Row],[OrderDate]], "mmm")</f>
        <v>May</v>
      </c>
      <c r="N921" t="str">
        <f>IF(Table1[[#This Row],[TotalSales]]&gt;50000,"High",IF(L921&gt;20000,"Medium","Low"))</f>
        <v>High</v>
      </c>
      <c r="O921">
        <f>Table1[[#This Row],[TotalSales]]/Table1[[#This Row],[Quantity]]</f>
        <v>22512.85</v>
      </c>
    </row>
    <row r="922" spans="1:15" x14ac:dyDescent="0.35">
      <c r="A922" t="s">
        <v>980</v>
      </c>
      <c r="B922" s="1">
        <v>45579</v>
      </c>
      <c r="C922" t="s">
        <v>13</v>
      </c>
      <c r="D922" t="s">
        <v>33</v>
      </c>
      <c r="E922" t="s">
        <v>22</v>
      </c>
      <c r="F922" t="s">
        <v>52</v>
      </c>
      <c r="G922" t="s">
        <v>30</v>
      </c>
      <c r="H922">
        <v>9</v>
      </c>
      <c r="I922">
        <v>17122.46</v>
      </c>
      <c r="J922" s="2">
        <v>0.05</v>
      </c>
      <c r="K922" t="s">
        <v>25</v>
      </c>
      <c r="L922">
        <f>(Table1[[#This Row],[Quantity]]*Table1[[#This Row],[UnitPrice]])-(Table1[[#This Row],[Quantity]]*Table1[[#This Row],[UnitPrice]])*Table1[[#This Row],[Discount%]]</f>
        <v>146397.033</v>
      </c>
      <c r="M922" t="str">
        <f>TEXT(Table1[[#This Row],[OrderDate]], "mmm")</f>
        <v>Oct</v>
      </c>
      <c r="N922" t="str">
        <f>IF(Table1[[#This Row],[TotalSales]]&gt;50000,"High",IF(L922&gt;20000,"Medium","Low"))</f>
        <v>High</v>
      </c>
      <c r="O922">
        <f>Table1[[#This Row],[TotalSales]]/Table1[[#This Row],[Quantity]]</f>
        <v>16266.337</v>
      </c>
    </row>
    <row r="923" spans="1:15" x14ac:dyDescent="0.35">
      <c r="A923" t="s">
        <v>981</v>
      </c>
      <c r="B923" s="1">
        <v>45636</v>
      </c>
      <c r="C923" t="s">
        <v>46</v>
      </c>
      <c r="D923" t="s">
        <v>79</v>
      </c>
      <c r="E923" t="s">
        <v>22</v>
      </c>
      <c r="F923" t="s">
        <v>42</v>
      </c>
      <c r="G923" t="s">
        <v>17</v>
      </c>
      <c r="H923">
        <v>5</v>
      </c>
      <c r="I923">
        <v>5382.33</v>
      </c>
      <c r="J923" s="2">
        <v>0.2</v>
      </c>
      <c r="K923" t="s">
        <v>18</v>
      </c>
      <c r="L923">
        <v>21529.32</v>
      </c>
      <c r="M923" t="str">
        <f>TEXT(Table1[[#This Row],[OrderDate]], "mmm")</f>
        <v>Dec</v>
      </c>
      <c r="N923" t="str">
        <f>IF(Table1[[#This Row],[TotalSales]]&gt;50000,"High",IF(L923&gt;20000,"Medium","Low"))</f>
        <v>Medium</v>
      </c>
      <c r="O923">
        <f>Table1[[#This Row],[TotalSales]]/Table1[[#This Row],[Quantity]]</f>
        <v>4305.8639999999996</v>
      </c>
    </row>
    <row r="924" spans="1:15" x14ac:dyDescent="0.35">
      <c r="A924" t="s">
        <v>982</v>
      </c>
      <c r="B924" s="1">
        <v>45563</v>
      </c>
      <c r="C924" t="s">
        <v>13</v>
      </c>
      <c r="D924" t="s">
        <v>37</v>
      </c>
      <c r="E924" t="s">
        <v>22</v>
      </c>
      <c r="F924" t="s">
        <v>52</v>
      </c>
      <c r="G924" t="s">
        <v>69</v>
      </c>
      <c r="H924">
        <v>8</v>
      </c>
      <c r="I924">
        <v>5839.86</v>
      </c>
      <c r="J924" s="2">
        <v>0</v>
      </c>
      <c r="K924" t="s">
        <v>25</v>
      </c>
      <c r="L924">
        <v>46718.879999999997</v>
      </c>
      <c r="M924" t="str">
        <f>TEXT(Table1[[#This Row],[OrderDate]], "mmm")</f>
        <v>Sep</v>
      </c>
      <c r="N924" t="str">
        <f>IF(Table1[[#This Row],[TotalSales]]&gt;50000,"High",IF(L924&gt;20000,"Medium","Low"))</f>
        <v>Medium</v>
      </c>
      <c r="O924">
        <f>Table1[[#This Row],[TotalSales]]/Table1[[#This Row],[Quantity]]</f>
        <v>5839.86</v>
      </c>
    </row>
    <row r="925" spans="1:15" x14ac:dyDescent="0.35">
      <c r="A925" t="s">
        <v>983</v>
      </c>
      <c r="B925" s="1">
        <v>45556</v>
      </c>
      <c r="C925" t="s">
        <v>20</v>
      </c>
      <c r="D925" t="s">
        <v>97</v>
      </c>
      <c r="E925" t="s">
        <v>22</v>
      </c>
      <c r="F925" t="s">
        <v>42</v>
      </c>
      <c r="G925" t="s">
        <v>49</v>
      </c>
      <c r="H925">
        <v>8</v>
      </c>
      <c r="I925">
        <v>36011.29</v>
      </c>
      <c r="J925" s="2">
        <v>0.2</v>
      </c>
      <c r="K925" t="s">
        <v>44</v>
      </c>
      <c r="L925">
        <v>230472.26</v>
      </c>
      <c r="M925" t="str">
        <f>TEXT(Table1[[#This Row],[OrderDate]], "mmm")</f>
        <v>Sep</v>
      </c>
      <c r="N925" t="str">
        <f>IF(Table1[[#This Row],[TotalSales]]&gt;50000,"High",IF(L925&gt;20000,"Medium","Low"))</f>
        <v>High</v>
      </c>
      <c r="O925">
        <f>Table1[[#This Row],[TotalSales]]/Table1[[#This Row],[Quantity]]</f>
        <v>28809.032500000001</v>
      </c>
    </row>
    <row r="926" spans="1:15" x14ac:dyDescent="0.35">
      <c r="A926" t="s">
        <v>984</v>
      </c>
      <c r="B926" s="1">
        <v>45473</v>
      </c>
      <c r="C926" t="s">
        <v>13</v>
      </c>
      <c r="D926" t="s">
        <v>33</v>
      </c>
      <c r="E926" t="s">
        <v>22</v>
      </c>
      <c r="F926" t="s">
        <v>52</v>
      </c>
      <c r="G926" t="s">
        <v>66</v>
      </c>
      <c r="H926">
        <v>14</v>
      </c>
      <c r="I926">
        <v>41037.72</v>
      </c>
      <c r="J926" s="2">
        <v>0.05</v>
      </c>
      <c r="K926" t="s">
        <v>31</v>
      </c>
      <c r="L926">
        <f>(Table1[[#This Row],[Quantity]]*Table1[[#This Row],[UnitPrice]])-(Table1[[#This Row],[Quantity]]*Table1[[#This Row],[UnitPrice]])*Table1[[#This Row],[Discount%]]</f>
        <v>545801.67600000009</v>
      </c>
      <c r="M926" t="str">
        <f>TEXT(Table1[[#This Row],[OrderDate]], "mmm")</f>
        <v>Jun</v>
      </c>
      <c r="N926" t="str">
        <f>IF(Table1[[#This Row],[TotalSales]]&gt;50000,"High",IF(L926&gt;20000,"Medium","Low"))</f>
        <v>High</v>
      </c>
      <c r="O926">
        <f>Table1[[#This Row],[TotalSales]]/Table1[[#This Row],[Quantity]]</f>
        <v>38985.83400000001</v>
      </c>
    </row>
    <row r="927" spans="1:15" x14ac:dyDescent="0.35">
      <c r="A927" t="s">
        <v>985</v>
      </c>
      <c r="B927" s="1">
        <v>45432</v>
      </c>
      <c r="C927" t="s">
        <v>20</v>
      </c>
      <c r="D927" t="s">
        <v>97</v>
      </c>
      <c r="E927" t="s">
        <v>34</v>
      </c>
      <c r="F927" t="s">
        <v>48</v>
      </c>
      <c r="G927" t="s">
        <v>83</v>
      </c>
      <c r="H927">
        <v>1</v>
      </c>
      <c r="I927">
        <v>45055.61</v>
      </c>
      <c r="J927" s="2">
        <v>0</v>
      </c>
      <c r="K927" t="s">
        <v>25</v>
      </c>
      <c r="L927">
        <v>45055.61</v>
      </c>
      <c r="M927" t="str">
        <f>TEXT(Table1[[#This Row],[OrderDate]], "mmm")</f>
        <v>May</v>
      </c>
      <c r="N927" t="str">
        <f>IF(Table1[[#This Row],[TotalSales]]&gt;50000,"High",IF(L927&gt;20000,"Medium","Low"))</f>
        <v>Medium</v>
      </c>
      <c r="O927">
        <f>Table1[[#This Row],[TotalSales]]/Table1[[#This Row],[Quantity]]</f>
        <v>45055.61</v>
      </c>
    </row>
    <row r="928" spans="1:15" x14ac:dyDescent="0.35">
      <c r="A928" t="s">
        <v>986</v>
      </c>
      <c r="B928" s="1">
        <v>45608</v>
      </c>
      <c r="C928" t="s">
        <v>20</v>
      </c>
      <c r="D928" t="s">
        <v>27</v>
      </c>
      <c r="E928" t="s">
        <v>34</v>
      </c>
      <c r="F928" t="s">
        <v>48</v>
      </c>
      <c r="G928" t="s">
        <v>30</v>
      </c>
      <c r="H928">
        <v>9</v>
      </c>
      <c r="I928">
        <v>24317.65</v>
      </c>
      <c r="J928" s="2">
        <v>0</v>
      </c>
      <c r="K928" t="s">
        <v>31</v>
      </c>
      <c r="L928">
        <v>218858.85</v>
      </c>
      <c r="M928" t="str">
        <f>TEXT(Table1[[#This Row],[OrderDate]], "mmm")</f>
        <v>Nov</v>
      </c>
      <c r="N928" t="str">
        <f>IF(Table1[[#This Row],[TotalSales]]&gt;50000,"High",IF(L928&gt;20000,"Medium","Low"))</f>
        <v>High</v>
      </c>
      <c r="O928">
        <f>Table1[[#This Row],[TotalSales]]/Table1[[#This Row],[Quantity]]</f>
        <v>24317.65</v>
      </c>
    </row>
    <row r="929" spans="1:15" x14ac:dyDescent="0.35">
      <c r="A929" t="s">
        <v>987</v>
      </c>
      <c r="B929" s="1">
        <v>45602</v>
      </c>
      <c r="C929" t="s">
        <v>20</v>
      </c>
      <c r="D929" t="s">
        <v>97</v>
      </c>
      <c r="E929" t="s">
        <v>34</v>
      </c>
      <c r="F929" t="s">
        <v>88</v>
      </c>
      <c r="G929" t="s">
        <v>49</v>
      </c>
      <c r="H929">
        <v>10</v>
      </c>
      <c r="I929">
        <v>20751.04</v>
      </c>
      <c r="J929" s="2">
        <v>0</v>
      </c>
      <c r="K929" t="s">
        <v>31</v>
      </c>
      <c r="L929">
        <v>207510.39999999999</v>
      </c>
      <c r="M929" t="str">
        <f>TEXT(Table1[[#This Row],[OrderDate]], "mmm")</f>
        <v>Nov</v>
      </c>
      <c r="N929" t="str">
        <f>IF(Table1[[#This Row],[TotalSales]]&gt;50000,"High",IF(L929&gt;20000,"Medium","Low"))</f>
        <v>High</v>
      </c>
      <c r="O929">
        <f>Table1[[#This Row],[TotalSales]]/Table1[[#This Row],[Quantity]]</f>
        <v>20751.04</v>
      </c>
    </row>
    <row r="930" spans="1:15" x14ac:dyDescent="0.35">
      <c r="A930" t="s">
        <v>988</v>
      </c>
      <c r="B930" s="1">
        <v>45503</v>
      </c>
      <c r="C930" t="s">
        <v>46</v>
      </c>
      <c r="D930" t="s">
        <v>79</v>
      </c>
      <c r="E930" t="s">
        <v>34</v>
      </c>
      <c r="F930" t="s">
        <v>61</v>
      </c>
      <c r="G930" t="s">
        <v>83</v>
      </c>
      <c r="H930">
        <v>14</v>
      </c>
      <c r="I930">
        <v>8517.14</v>
      </c>
      <c r="J930" s="2">
        <v>0</v>
      </c>
      <c r="K930" t="s">
        <v>44</v>
      </c>
      <c r="L930">
        <v>119239.96</v>
      </c>
      <c r="M930" t="str">
        <f>TEXT(Table1[[#This Row],[OrderDate]], "mmm")</f>
        <v>Jul</v>
      </c>
      <c r="N930" t="str">
        <f>IF(Table1[[#This Row],[TotalSales]]&gt;50000,"High",IF(L930&gt;20000,"Medium","Low"))</f>
        <v>High</v>
      </c>
      <c r="O930">
        <f>Table1[[#This Row],[TotalSales]]/Table1[[#This Row],[Quantity]]</f>
        <v>8517.1400000000012</v>
      </c>
    </row>
    <row r="931" spans="1:15" x14ac:dyDescent="0.35">
      <c r="A931" t="s">
        <v>989</v>
      </c>
      <c r="B931" s="1">
        <v>45650</v>
      </c>
      <c r="C931" t="s">
        <v>20</v>
      </c>
      <c r="D931" t="s">
        <v>27</v>
      </c>
      <c r="E931" t="s">
        <v>28</v>
      </c>
      <c r="F931" t="s">
        <v>76</v>
      </c>
      <c r="G931" t="s">
        <v>83</v>
      </c>
      <c r="H931">
        <v>12</v>
      </c>
      <c r="I931">
        <v>40700.39</v>
      </c>
      <c r="J931" s="2">
        <v>0.2</v>
      </c>
      <c r="K931" t="s">
        <v>25</v>
      </c>
      <c r="L931">
        <v>390723.74</v>
      </c>
      <c r="M931" t="str">
        <f>TEXT(Table1[[#This Row],[OrderDate]], "mmm")</f>
        <v>Dec</v>
      </c>
      <c r="N931" t="str">
        <f>IF(Table1[[#This Row],[TotalSales]]&gt;50000,"High",IF(L931&gt;20000,"Medium","Low"))</f>
        <v>High</v>
      </c>
      <c r="O931">
        <f>Table1[[#This Row],[TotalSales]]/Table1[[#This Row],[Quantity]]</f>
        <v>32560.311666666665</v>
      </c>
    </row>
    <row r="932" spans="1:15" x14ac:dyDescent="0.35">
      <c r="A932" t="s">
        <v>990</v>
      </c>
      <c r="B932" s="1">
        <v>45393</v>
      </c>
      <c r="C932" t="s">
        <v>13</v>
      </c>
      <c r="D932" t="s">
        <v>37</v>
      </c>
      <c r="E932" t="s">
        <v>22</v>
      </c>
      <c r="F932" t="s">
        <v>82</v>
      </c>
      <c r="G932" t="s">
        <v>66</v>
      </c>
      <c r="H932">
        <v>11</v>
      </c>
      <c r="I932">
        <v>53434.84</v>
      </c>
      <c r="J932" s="2">
        <v>0</v>
      </c>
      <c r="K932" t="s">
        <v>25</v>
      </c>
      <c r="L932">
        <v>587783.24</v>
      </c>
      <c r="M932" t="str">
        <f>TEXT(Table1[[#This Row],[OrderDate]], "mmm")</f>
        <v>Apr</v>
      </c>
      <c r="N932" t="str">
        <f>IF(Table1[[#This Row],[TotalSales]]&gt;50000,"High",IF(L932&gt;20000,"Medium","Low"))</f>
        <v>High</v>
      </c>
      <c r="O932">
        <f>Table1[[#This Row],[TotalSales]]/Table1[[#This Row],[Quantity]]</f>
        <v>53434.84</v>
      </c>
    </row>
    <row r="933" spans="1:15" x14ac:dyDescent="0.35">
      <c r="A933" t="s">
        <v>991</v>
      </c>
      <c r="B933" s="1">
        <v>45322</v>
      </c>
      <c r="C933" t="s">
        <v>46</v>
      </c>
      <c r="D933" t="s">
        <v>71</v>
      </c>
      <c r="E933" t="s">
        <v>34</v>
      </c>
      <c r="F933" t="s">
        <v>88</v>
      </c>
      <c r="G933" t="s">
        <v>83</v>
      </c>
      <c r="H933">
        <v>15</v>
      </c>
      <c r="I933">
        <v>54432.44</v>
      </c>
      <c r="J933" s="2">
        <v>0</v>
      </c>
      <c r="K933" t="s">
        <v>25</v>
      </c>
      <c r="L933">
        <v>816486.6</v>
      </c>
      <c r="M933" t="str">
        <f>TEXT(Table1[[#This Row],[OrderDate]], "mmm")</f>
        <v>Jan</v>
      </c>
      <c r="N933" t="str">
        <f>IF(Table1[[#This Row],[TotalSales]]&gt;50000,"High",IF(L933&gt;20000,"Medium","Low"))</f>
        <v>High</v>
      </c>
      <c r="O933">
        <f>Table1[[#This Row],[TotalSales]]/Table1[[#This Row],[Quantity]]</f>
        <v>54432.439999999995</v>
      </c>
    </row>
    <row r="934" spans="1:15" x14ac:dyDescent="0.35">
      <c r="A934" t="s">
        <v>992</v>
      </c>
      <c r="B934" s="1">
        <v>45330</v>
      </c>
      <c r="C934" t="s">
        <v>46</v>
      </c>
      <c r="D934" t="s">
        <v>71</v>
      </c>
      <c r="E934" t="s">
        <v>28</v>
      </c>
      <c r="F934" t="s">
        <v>29</v>
      </c>
      <c r="G934" t="s">
        <v>17</v>
      </c>
      <c r="H934">
        <v>10</v>
      </c>
      <c r="I934">
        <v>5249.46</v>
      </c>
      <c r="J934" s="2">
        <v>0.1</v>
      </c>
      <c r="K934" t="s">
        <v>25</v>
      </c>
      <c r="L934">
        <v>47245.14</v>
      </c>
      <c r="M934" t="str">
        <f>TEXT(Table1[[#This Row],[OrderDate]], "mmm")</f>
        <v>Feb</v>
      </c>
      <c r="N934" t="str">
        <f>IF(Table1[[#This Row],[TotalSales]]&gt;50000,"High",IF(L934&gt;20000,"Medium","Low"))</f>
        <v>Medium</v>
      </c>
      <c r="O934">
        <f>Table1[[#This Row],[TotalSales]]/Table1[[#This Row],[Quantity]]</f>
        <v>4724.5140000000001</v>
      </c>
    </row>
    <row r="935" spans="1:15" x14ac:dyDescent="0.35">
      <c r="A935" t="s">
        <v>993</v>
      </c>
      <c r="B935" s="1">
        <v>45530</v>
      </c>
      <c r="C935" t="s">
        <v>40</v>
      </c>
      <c r="D935" t="s">
        <v>41</v>
      </c>
      <c r="E935" t="s">
        <v>22</v>
      </c>
      <c r="F935" t="s">
        <v>23</v>
      </c>
      <c r="G935" t="s">
        <v>30</v>
      </c>
      <c r="H935">
        <v>8</v>
      </c>
      <c r="I935">
        <v>48936.7</v>
      </c>
      <c r="J935" s="2">
        <v>0.15</v>
      </c>
      <c r="K935" t="s">
        <v>25</v>
      </c>
      <c r="L935">
        <v>332769.56</v>
      </c>
      <c r="M935" t="str">
        <f>TEXT(Table1[[#This Row],[OrderDate]], "mmm")</f>
        <v>Aug</v>
      </c>
      <c r="N935" t="str">
        <f>IF(Table1[[#This Row],[TotalSales]]&gt;50000,"High",IF(L935&gt;20000,"Medium","Low"))</f>
        <v>High</v>
      </c>
      <c r="O935">
        <f>Table1[[#This Row],[TotalSales]]/Table1[[#This Row],[Quantity]]</f>
        <v>41596.195</v>
      </c>
    </row>
    <row r="936" spans="1:15" x14ac:dyDescent="0.35">
      <c r="A936" t="s">
        <v>994</v>
      </c>
      <c r="B936" s="1">
        <v>45611</v>
      </c>
      <c r="C936" t="s">
        <v>13</v>
      </c>
      <c r="D936" t="s">
        <v>14</v>
      </c>
      <c r="E936" t="s">
        <v>15</v>
      </c>
      <c r="F936" t="s">
        <v>38</v>
      </c>
      <c r="G936" t="s">
        <v>83</v>
      </c>
      <c r="H936">
        <v>14</v>
      </c>
      <c r="I936">
        <v>21569.119999999999</v>
      </c>
      <c r="J936" s="2">
        <v>0</v>
      </c>
      <c r="K936" t="s">
        <v>25</v>
      </c>
      <c r="L936">
        <v>301967.68</v>
      </c>
      <c r="M936" t="str">
        <f>TEXT(Table1[[#This Row],[OrderDate]], "mmm")</f>
        <v>Nov</v>
      </c>
      <c r="N936" t="str">
        <f>IF(Table1[[#This Row],[TotalSales]]&gt;50000,"High",IF(L936&gt;20000,"Medium","Low"))</f>
        <v>High</v>
      </c>
      <c r="O936">
        <f>Table1[[#This Row],[TotalSales]]/Table1[[#This Row],[Quantity]]</f>
        <v>21569.119999999999</v>
      </c>
    </row>
    <row r="937" spans="1:15" x14ac:dyDescent="0.35">
      <c r="A937" t="s">
        <v>995</v>
      </c>
      <c r="B937" s="1">
        <v>45367</v>
      </c>
      <c r="C937" t="s">
        <v>20</v>
      </c>
      <c r="D937" t="s">
        <v>27</v>
      </c>
      <c r="E937" t="s">
        <v>22</v>
      </c>
      <c r="F937" t="s">
        <v>52</v>
      </c>
      <c r="G937" t="s">
        <v>83</v>
      </c>
      <c r="H937">
        <v>4</v>
      </c>
      <c r="I937">
        <v>17104.8</v>
      </c>
      <c r="J937" s="2">
        <v>0</v>
      </c>
      <c r="K937" t="s">
        <v>31</v>
      </c>
      <c r="L937">
        <v>68419.199999999997</v>
      </c>
      <c r="M937" t="str">
        <f>TEXT(Table1[[#This Row],[OrderDate]], "mmm")</f>
        <v>Mar</v>
      </c>
      <c r="N937" t="str">
        <f>IF(Table1[[#This Row],[TotalSales]]&gt;50000,"High",IF(L937&gt;20000,"Medium","Low"))</f>
        <v>High</v>
      </c>
      <c r="O937">
        <f>Table1[[#This Row],[TotalSales]]/Table1[[#This Row],[Quantity]]</f>
        <v>17104.8</v>
      </c>
    </row>
    <row r="938" spans="1:15" x14ac:dyDescent="0.35">
      <c r="A938" t="s">
        <v>996</v>
      </c>
      <c r="B938" s="1">
        <v>45398</v>
      </c>
      <c r="C938" t="s">
        <v>20</v>
      </c>
      <c r="D938" t="s">
        <v>21</v>
      </c>
      <c r="E938" t="s">
        <v>28</v>
      </c>
      <c r="F938" t="s">
        <v>29</v>
      </c>
      <c r="G938" t="s">
        <v>43</v>
      </c>
      <c r="H938">
        <v>4</v>
      </c>
      <c r="I938">
        <v>16800.54</v>
      </c>
      <c r="J938" s="2">
        <v>0.05</v>
      </c>
      <c r="K938" t="s">
        <v>18</v>
      </c>
      <c r="L938">
        <v>63842.05</v>
      </c>
      <c r="M938" t="str">
        <f>TEXT(Table1[[#This Row],[OrderDate]], "mmm")</f>
        <v>Apr</v>
      </c>
      <c r="N938" t="str">
        <f>IF(Table1[[#This Row],[TotalSales]]&gt;50000,"High",IF(L938&gt;20000,"Medium","Low"))</f>
        <v>High</v>
      </c>
      <c r="O938">
        <f>Table1[[#This Row],[TotalSales]]/Table1[[#This Row],[Quantity]]</f>
        <v>15960.512500000001</v>
      </c>
    </row>
    <row r="939" spans="1:15" x14ac:dyDescent="0.35">
      <c r="A939" t="s">
        <v>997</v>
      </c>
      <c r="B939" s="1">
        <v>45519</v>
      </c>
      <c r="C939" t="s">
        <v>40</v>
      </c>
      <c r="D939" t="s">
        <v>55</v>
      </c>
      <c r="E939" t="s">
        <v>34</v>
      </c>
      <c r="F939" t="s">
        <v>35</v>
      </c>
      <c r="G939" t="s">
        <v>66</v>
      </c>
      <c r="H939">
        <v>14</v>
      </c>
      <c r="I939">
        <v>40968.04</v>
      </c>
      <c r="J939" s="2">
        <v>0.15</v>
      </c>
      <c r="K939" t="s">
        <v>31</v>
      </c>
      <c r="L939">
        <v>487519.68</v>
      </c>
      <c r="M939" t="str">
        <f>TEXT(Table1[[#This Row],[OrderDate]], "mmm")</f>
        <v>Aug</v>
      </c>
      <c r="N939" t="str">
        <f>IF(Table1[[#This Row],[TotalSales]]&gt;50000,"High",IF(L939&gt;20000,"Medium","Low"))</f>
        <v>High</v>
      </c>
      <c r="O939">
        <f>Table1[[#This Row],[TotalSales]]/Table1[[#This Row],[Quantity]]</f>
        <v>34822.834285714285</v>
      </c>
    </row>
    <row r="940" spans="1:15" x14ac:dyDescent="0.35">
      <c r="A940" t="s">
        <v>998</v>
      </c>
      <c r="B940" s="1">
        <v>45399</v>
      </c>
      <c r="C940" t="s">
        <v>46</v>
      </c>
      <c r="D940" t="s">
        <v>47</v>
      </c>
      <c r="E940" t="s">
        <v>15</v>
      </c>
      <c r="F940" t="s">
        <v>59</v>
      </c>
      <c r="G940" t="s">
        <v>17</v>
      </c>
      <c r="H940">
        <v>2</v>
      </c>
      <c r="I940">
        <v>51750.13</v>
      </c>
      <c r="J940" s="2">
        <v>0.15</v>
      </c>
      <c r="K940" t="s">
        <v>44</v>
      </c>
      <c r="L940">
        <v>87975.22</v>
      </c>
      <c r="M940" t="str">
        <f>TEXT(Table1[[#This Row],[OrderDate]], "mmm")</f>
        <v>Apr</v>
      </c>
      <c r="N940" t="str">
        <f>IF(Table1[[#This Row],[TotalSales]]&gt;50000,"High",IF(L940&gt;20000,"Medium","Low"))</f>
        <v>High</v>
      </c>
      <c r="O940">
        <f>Table1[[#This Row],[TotalSales]]/Table1[[#This Row],[Quantity]]</f>
        <v>43987.61</v>
      </c>
    </row>
    <row r="941" spans="1:15" x14ac:dyDescent="0.35">
      <c r="A941" t="s">
        <v>999</v>
      </c>
      <c r="B941" s="1">
        <v>45300</v>
      </c>
      <c r="C941" t="s">
        <v>46</v>
      </c>
      <c r="D941" t="s">
        <v>79</v>
      </c>
      <c r="E941" t="s">
        <v>34</v>
      </c>
      <c r="F941" t="s">
        <v>48</v>
      </c>
      <c r="G941" t="s">
        <v>17</v>
      </c>
      <c r="H941">
        <v>1</v>
      </c>
      <c r="I941">
        <v>21025.599999999999</v>
      </c>
      <c r="J941" s="2">
        <v>0.05</v>
      </c>
      <c r="K941" t="s">
        <v>25</v>
      </c>
      <c r="L941">
        <v>19974.32</v>
      </c>
      <c r="M941" t="str">
        <f>TEXT(Table1[[#This Row],[OrderDate]], "mmm")</f>
        <v>Jan</v>
      </c>
      <c r="N941" t="str">
        <f>IF(Table1[[#This Row],[TotalSales]]&gt;50000,"High",IF(L941&gt;20000,"Medium","Low"))</f>
        <v>Low</v>
      </c>
      <c r="O941">
        <f>Table1[[#This Row],[TotalSales]]/Table1[[#This Row],[Quantity]]</f>
        <v>19974.32</v>
      </c>
    </row>
    <row r="942" spans="1:15" x14ac:dyDescent="0.35">
      <c r="A942" t="s">
        <v>1000</v>
      </c>
      <c r="B942" s="1">
        <v>45621</v>
      </c>
      <c r="C942" t="s">
        <v>46</v>
      </c>
      <c r="D942" t="s">
        <v>71</v>
      </c>
      <c r="E942" t="s">
        <v>28</v>
      </c>
      <c r="F942" t="s">
        <v>125</v>
      </c>
      <c r="G942" t="s">
        <v>43</v>
      </c>
      <c r="H942">
        <v>13</v>
      </c>
      <c r="I942">
        <v>21554.799999999999</v>
      </c>
      <c r="J942" s="2">
        <v>0.05</v>
      </c>
      <c r="K942" t="s">
        <v>18</v>
      </c>
      <c r="L942">
        <v>266201.78000000003</v>
      </c>
      <c r="M942" t="str">
        <f>TEXT(Table1[[#This Row],[OrderDate]], "mmm")</f>
        <v>Nov</v>
      </c>
      <c r="N942" t="str">
        <f>IF(Table1[[#This Row],[TotalSales]]&gt;50000,"High",IF(L942&gt;20000,"Medium","Low"))</f>
        <v>High</v>
      </c>
      <c r="O942">
        <f>Table1[[#This Row],[TotalSales]]/Table1[[#This Row],[Quantity]]</f>
        <v>20477.060000000001</v>
      </c>
    </row>
    <row r="943" spans="1:15" x14ac:dyDescent="0.35">
      <c r="A943" t="s">
        <v>1001</v>
      </c>
      <c r="B943" s="1">
        <v>45557</v>
      </c>
      <c r="C943" t="s">
        <v>46</v>
      </c>
      <c r="D943" t="s">
        <v>47</v>
      </c>
      <c r="E943" t="s">
        <v>22</v>
      </c>
      <c r="F943" t="s">
        <v>42</v>
      </c>
      <c r="G943" t="s">
        <v>49</v>
      </c>
      <c r="H943">
        <v>3</v>
      </c>
      <c r="I943">
        <v>7884.08</v>
      </c>
      <c r="J943" s="2">
        <v>0.05</v>
      </c>
      <c r="K943" t="s">
        <v>44</v>
      </c>
      <c r="L943">
        <v>22469.63</v>
      </c>
      <c r="M943" t="str">
        <f>TEXT(Table1[[#This Row],[OrderDate]], "mmm")</f>
        <v>Sep</v>
      </c>
      <c r="N943" t="str">
        <f>IF(Table1[[#This Row],[TotalSales]]&gt;50000,"High",IF(L943&gt;20000,"Medium","Low"))</f>
        <v>Medium</v>
      </c>
      <c r="O943">
        <f>Table1[[#This Row],[TotalSales]]/Table1[[#This Row],[Quantity]]</f>
        <v>7489.876666666667</v>
      </c>
    </row>
    <row r="944" spans="1:15" x14ac:dyDescent="0.35">
      <c r="A944" t="s">
        <v>1002</v>
      </c>
      <c r="B944" s="1">
        <v>45381</v>
      </c>
      <c r="C944" t="s">
        <v>40</v>
      </c>
      <c r="D944" t="s">
        <v>55</v>
      </c>
      <c r="E944" t="s">
        <v>34</v>
      </c>
      <c r="F944" t="s">
        <v>61</v>
      </c>
      <c r="G944" t="s">
        <v>17</v>
      </c>
      <c r="H944">
        <v>15</v>
      </c>
      <c r="I944">
        <v>28619.26</v>
      </c>
      <c r="J944" s="2">
        <v>0</v>
      </c>
      <c r="K944" t="s">
        <v>18</v>
      </c>
      <c r="L944">
        <v>429288.9</v>
      </c>
      <c r="M944" t="str">
        <f>TEXT(Table1[[#This Row],[OrderDate]], "mmm")</f>
        <v>Mar</v>
      </c>
      <c r="N944" t="str">
        <f>IF(Table1[[#This Row],[TotalSales]]&gt;50000,"High",IF(L944&gt;20000,"Medium","Low"))</f>
        <v>High</v>
      </c>
      <c r="O944">
        <f>Table1[[#This Row],[TotalSales]]/Table1[[#This Row],[Quantity]]</f>
        <v>28619.260000000002</v>
      </c>
    </row>
    <row r="945" spans="1:15" x14ac:dyDescent="0.35">
      <c r="A945" t="s">
        <v>1003</v>
      </c>
      <c r="B945" s="1">
        <v>45498</v>
      </c>
      <c r="C945" t="s">
        <v>20</v>
      </c>
      <c r="D945" t="s">
        <v>97</v>
      </c>
      <c r="E945" t="s">
        <v>15</v>
      </c>
      <c r="F945" t="s">
        <v>38</v>
      </c>
      <c r="G945" t="s">
        <v>30</v>
      </c>
      <c r="H945">
        <v>11</v>
      </c>
      <c r="I945">
        <v>20650.490000000002</v>
      </c>
      <c r="J945" s="2">
        <v>0.2</v>
      </c>
      <c r="K945" t="s">
        <v>31</v>
      </c>
      <c r="L945">
        <v>181724.31</v>
      </c>
      <c r="M945" t="str">
        <f>TEXT(Table1[[#This Row],[OrderDate]], "mmm")</f>
        <v>Jul</v>
      </c>
      <c r="N945" t="str">
        <f>IF(Table1[[#This Row],[TotalSales]]&gt;50000,"High",IF(L945&gt;20000,"Medium","Low"))</f>
        <v>High</v>
      </c>
      <c r="O945">
        <f>Table1[[#This Row],[TotalSales]]/Table1[[#This Row],[Quantity]]</f>
        <v>16520.391818181819</v>
      </c>
    </row>
    <row r="946" spans="1:15" x14ac:dyDescent="0.35">
      <c r="A946" t="s">
        <v>1004</v>
      </c>
      <c r="B946" s="1">
        <v>45485</v>
      </c>
      <c r="C946" t="s">
        <v>46</v>
      </c>
      <c r="D946" t="s">
        <v>71</v>
      </c>
      <c r="E946" t="s">
        <v>22</v>
      </c>
      <c r="F946" t="s">
        <v>82</v>
      </c>
      <c r="G946" t="s">
        <v>66</v>
      </c>
      <c r="H946">
        <v>13</v>
      </c>
      <c r="I946">
        <v>32998.21</v>
      </c>
      <c r="J946" s="2">
        <v>0.1</v>
      </c>
      <c r="K946" t="s">
        <v>31</v>
      </c>
      <c r="L946">
        <v>386079.06</v>
      </c>
      <c r="M946" t="str">
        <f>TEXT(Table1[[#This Row],[OrderDate]], "mmm")</f>
        <v>Jul</v>
      </c>
      <c r="N946" t="str">
        <f>IF(Table1[[#This Row],[TotalSales]]&gt;50000,"High",IF(L946&gt;20000,"Medium","Low"))</f>
        <v>High</v>
      </c>
      <c r="O946">
        <f>Table1[[#This Row],[TotalSales]]/Table1[[#This Row],[Quantity]]</f>
        <v>29698.389230769229</v>
      </c>
    </row>
    <row r="947" spans="1:15" x14ac:dyDescent="0.35">
      <c r="A947" t="s">
        <v>1005</v>
      </c>
      <c r="B947" s="1">
        <v>45566</v>
      </c>
      <c r="C947" t="s">
        <v>40</v>
      </c>
      <c r="D947" t="s">
        <v>41</v>
      </c>
      <c r="E947" t="s">
        <v>15</v>
      </c>
      <c r="F947" t="s">
        <v>38</v>
      </c>
      <c r="G947" t="s">
        <v>49</v>
      </c>
      <c r="H947">
        <v>8</v>
      </c>
      <c r="I947">
        <v>7565.42</v>
      </c>
      <c r="J947" s="2">
        <v>0.1</v>
      </c>
      <c r="K947" t="s">
        <v>18</v>
      </c>
      <c r="L947">
        <v>54471.02</v>
      </c>
      <c r="M947" t="str">
        <f>TEXT(Table1[[#This Row],[OrderDate]], "mmm")</f>
        <v>Oct</v>
      </c>
      <c r="N947" t="str">
        <f>IF(Table1[[#This Row],[TotalSales]]&gt;50000,"High",IF(L947&gt;20000,"Medium","Low"))</f>
        <v>High</v>
      </c>
      <c r="O947">
        <f>Table1[[#This Row],[TotalSales]]/Table1[[#This Row],[Quantity]]</f>
        <v>6808.8774999999996</v>
      </c>
    </row>
    <row r="948" spans="1:15" x14ac:dyDescent="0.35">
      <c r="A948" t="s">
        <v>1006</v>
      </c>
      <c r="B948" s="1">
        <v>45544</v>
      </c>
      <c r="C948" t="s">
        <v>46</v>
      </c>
      <c r="D948" t="s">
        <v>79</v>
      </c>
      <c r="E948" t="s">
        <v>28</v>
      </c>
      <c r="F948" t="s">
        <v>29</v>
      </c>
      <c r="G948" t="s">
        <v>69</v>
      </c>
      <c r="H948">
        <v>12</v>
      </c>
      <c r="I948">
        <v>45743.7</v>
      </c>
      <c r="J948" s="2">
        <v>0.1</v>
      </c>
      <c r="K948" t="s">
        <v>31</v>
      </c>
      <c r="L948">
        <v>494031.96</v>
      </c>
      <c r="M948" t="str">
        <f>TEXT(Table1[[#This Row],[OrderDate]], "mmm")</f>
        <v>Sep</v>
      </c>
      <c r="N948" t="str">
        <f>IF(Table1[[#This Row],[TotalSales]]&gt;50000,"High",IF(L948&gt;20000,"Medium","Low"))</f>
        <v>High</v>
      </c>
      <c r="O948">
        <f>Table1[[#This Row],[TotalSales]]/Table1[[#This Row],[Quantity]]</f>
        <v>41169.33</v>
      </c>
    </row>
    <row r="949" spans="1:15" x14ac:dyDescent="0.35">
      <c r="A949" t="s">
        <v>1007</v>
      </c>
      <c r="B949" s="1">
        <v>45345</v>
      </c>
      <c r="C949" t="s">
        <v>13</v>
      </c>
      <c r="D949" t="s">
        <v>33</v>
      </c>
      <c r="E949" t="s">
        <v>15</v>
      </c>
      <c r="F949" t="s">
        <v>38</v>
      </c>
      <c r="G949" t="s">
        <v>49</v>
      </c>
      <c r="H949">
        <v>4</v>
      </c>
      <c r="I949">
        <v>12597.04</v>
      </c>
      <c r="J949" s="2">
        <v>0</v>
      </c>
      <c r="K949" t="s">
        <v>18</v>
      </c>
      <c r="L949">
        <v>50388.160000000003</v>
      </c>
      <c r="M949" t="str">
        <f>TEXT(Table1[[#This Row],[OrderDate]], "mmm")</f>
        <v>Feb</v>
      </c>
      <c r="N949" t="str">
        <f>IF(Table1[[#This Row],[TotalSales]]&gt;50000,"High",IF(L949&gt;20000,"Medium","Low"))</f>
        <v>High</v>
      </c>
      <c r="O949">
        <f>Table1[[#This Row],[TotalSales]]/Table1[[#This Row],[Quantity]]</f>
        <v>12597.04</v>
      </c>
    </row>
    <row r="950" spans="1:15" x14ac:dyDescent="0.35">
      <c r="A950" t="s">
        <v>1008</v>
      </c>
      <c r="B950" s="1">
        <v>45366</v>
      </c>
      <c r="C950" t="s">
        <v>13</v>
      </c>
      <c r="D950" t="s">
        <v>33</v>
      </c>
      <c r="E950" t="s">
        <v>28</v>
      </c>
      <c r="F950" t="s">
        <v>104</v>
      </c>
      <c r="G950" t="s">
        <v>69</v>
      </c>
      <c r="H950">
        <v>10</v>
      </c>
      <c r="I950">
        <v>40555.29</v>
      </c>
      <c r="J950" s="2">
        <v>0.2</v>
      </c>
      <c r="K950" t="s">
        <v>18</v>
      </c>
      <c r="L950">
        <v>324442.32</v>
      </c>
      <c r="M950" t="str">
        <f>TEXT(Table1[[#This Row],[OrderDate]], "mmm")</f>
        <v>Mar</v>
      </c>
      <c r="N950" t="str">
        <f>IF(Table1[[#This Row],[TotalSales]]&gt;50000,"High",IF(L950&gt;20000,"Medium","Low"))</f>
        <v>High</v>
      </c>
      <c r="O950">
        <f>Table1[[#This Row],[TotalSales]]/Table1[[#This Row],[Quantity]]</f>
        <v>32444.232</v>
      </c>
    </row>
    <row r="951" spans="1:15" x14ac:dyDescent="0.35">
      <c r="A951" t="s">
        <v>1009</v>
      </c>
      <c r="B951" s="1">
        <v>45374</v>
      </c>
      <c r="C951" t="s">
        <v>46</v>
      </c>
      <c r="D951" t="s">
        <v>47</v>
      </c>
      <c r="E951" t="s">
        <v>15</v>
      </c>
      <c r="F951" t="s">
        <v>59</v>
      </c>
      <c r="G951" t="s">
        <v>66</v>
      </c>
      <c r="H951">
        <v>7</v>
      </c>
      <c r="I951">
        <v>17874.77</v>
      </c>
      <c r="J951" s="2">
        <v>0.1</v>
      </c>
      <c r="K951" t="s">
        <v>25</v>
      </c>
      <c r="L951">
        <v>112611.05</v>
      </c>
      <c r="M951" t="str">
        <f>TEXT(Table1[[#This Row],[OrderDate]], "mmm")</f>
        <v>Mar</v>
      </c>
      <c r="N951" t="str">
        <f>IF(Table1[[#This Row],[TotalSales]]&gt;50000,"High",IF(L951&gt;20000,"Medium","Low"))</f>
        <v>High</v>
      </c>
      <c r="O951">
        <f>Table1[[#This Row],[TotalSales]]/Table1[[#This Row],[Quantity]]</f>
        <v>16087.292857142858</v>
      </c>
    </row>
    <row r="952" spans="1:15" x14ac:dyDescent="0.35">
      <c r="A952" t="s">
        <v>1010</v>
      </c>
      <c r="B952" s="1">
        <v>45517</v>
      </c>
      <c r="C952" t="s">
        <v>13</v>
      </c>
      <c r="D952" t="s">
        <v>33</v>
      </c>
      <c r="E952" t="s">
        <v>22</v>
      </c>
      <c r="F952" t="s">
        <v>82</v>
      </c>
      <c r="G952" t="s">
        <v>49</v>
      </c>
      <c r="H952">
        <v>2</v>
      </c>
      <c r="I952">
        <v>41023.83</v>
      </c>
      <c r="J952" s="2">
        <v>0.15</v>
      </c>
      <c r="K952" t="s">
        <v>44</v>
      </c>
      <c r="L952">
        <v>69740.509999999995</v>
      </c>
      <c r="M952" t="str">
        <f>TEXT(Table1[[#This Row],[OrderDate]], "mmm")</f>
        <v>Aug</v>
      </c>
      <c r="N952" t="str">
        <f>IF(Table1[[#This Row],[TotalSales]]&gt;50000,"High",IF(L952&gt;20000,"Medium","Low"))</f>
        <v>High</v>
      </c>
      <c r="O952">
        <f>Table1[[#This Row],[TotalSales]]/Table1[[#This Row],[Quantity]]</f>
        <v>34870.254999999997</v>
      </c>
    </row>
    <row r="953" spans="1:15" x14ac:dyDescent="0.35">
      <c r="A953" t="s">
        <v>1011</v>
      </c>
      <c r="B953" s="1">
        <v>45467</v>
      </c>
      <c r="C953" t="s">
        <v>46</v>
      </c>
      <c r="D953" t="s">
        <v>71</v>
      </c>
      <c r="E953" t="s">
        <v>34</v>
      </c>
      <c r="F953" t="s">
        <v>88</v>
      </c>
      <c r="G953" t="s">
        <v>17</v>
      </c>
      <c r="H953">
        <v>13</v>
      </c>
      <c r="I953">
        <v>28645.200000000001</v>
      </c>
      <c r="J953" s="2">
        <v>0</v>
      </c>
      <c r="K953" t="s">
        <v>18</v>
      </c>
      <c r="L953">
        <v>372387.6</v>
      </c>
      <c r="M953" t="str">
        <f>TEXT(Table1[[#This Row],[OrderDate]], "mmm")</f>
        <v>Jun</v>
      </c>
      <c r="N953" t="str">
        <f>IF(Table1[[#This Row],[TotalSales]]&gt;50000,"High",IF(L953&gt;20000,"Medium","Low"))</f>
        <v>High</v>
      </c>
      <c r="O953">
        <f>Table1[[#This Row],[TotalSales]]/Table1[[#This Row],[Quantity]]</f>
        <v>28645.199999999997</v>
      </c>
    </row>
    <row r="954" spans="1:15" x14ac:dyDescent="0.35">
      <c r="A954" t="s">
        <v>1012</v>
      </c>
      <c r="B954" s="1">
        <v>45656</v>
      </c>
      <c r="C954" t="s">
        <v>46</v>
      </c>
      <c r="D954" t="s">
        <v>71</v>
      </c>
      <c r="E954" t="s">
        <v>34</v>
      </c>
      <c r="F954" t="s">
        <v>35</v>
      </c>
      <c r="G954" t="s">
        <v>24</v>
      </c>
      <c r="H954">
        <v>5</v>
      </c>
      <c r="I954">
        <v>7121.2</v>
      </c>
      <c r="J954" s="2">
        <v>0</v>
      </c>
      <c r="K954" t="s">
        <v>25</v>
      </c>
      <c r="L954">
        <v>35606</v>
      </c>
      <c r="M954" t="str">
        <f>TEXT(Table1[[#This Row],[OrderDate]], "mmm")</f>
        <v>Dec</v>
      </c>
      <c r="N954" t="str">
        <f>IF(Table1[[#This Row],[TotalSales]]&gt;50000,"High",IF(L954&gt;20000,"Medium","Low"))</f>
        <v>Medium</v>
      </c>
      <c r="O954">
        <f>Table1[[#This Row],[TotalSales]]/Table1[[#This Row],[Quantity]]</f>
        <v>7121.2</v>
      </c>
    </row>
    <row r="955" spans="1:15" x14ac:dyDescent="0.35">
      <c r="A955" t="s">
        <v>1013</v>
      </c>
      <c r="B955" s="1">
        <v>45393</v>
      </c>
      <c r="C955" t="s">
        <v>20</v>
      </c>
      <c r="D955" t="s">
        <v>27</v>
      </c>
      <c r="E955" t="s">
        <v>22</v>
      </c>
      <c r="F955" t="s">
        <v>42</v>
      </c>
      <c r="G955" t="s">
        <v>83</v>
      </c>
      <c r="H955">
        <v>12</v>
      </c>
      <c r="I955">
        <v>41003.85</v>
      </c>
      <c r="J955" s="2">
        <v>0.1</v>
      </c>
      <c r="K955" t="s">
        <v>18</v>
      </c>
      <c r="L955">
        <v>442841.58</v>
      </c>
      <c r="M955" t="str">
        <f>TEXT(Table1[[#This Row],[OrderDate]], "mmm")</f>
        <v>Apr</v>
      </c>
      <c r="N955" t="str">
        <f>IF(Table1[[#This Row],[TotalSales]]&gt;50000,"High",IF(L955&gt;20000,"Medium","Low"))</f>
        <v>High</v>
      </c>
      <c r="O955">
        <f>Table1[[#This Row],[TotalSales]]/Table1[[#This Row],[Quantity]]</f>
        <v>36903.465000000004</v>
      </c>
    </row>
    <row r="956" spans="1:15" x14ac:dyDescent="0.35">
      <c r="A956" t="s">
        <v>1014</v>
      </c>
      <c r="B956" s="1">
        <v>45640</v>
      </c>
      <c r="C956" t="s">
        <v>20</v>
      </c>
      <c r="D956" t="s">
        <v>27</v>
      </c>
      <c r="E956" t="s">
        <v>22</v>
      </c>
      <c r="F956" t="s">
        <v>52</v>
      </c>
      <c r="G956" t="s">
        <v>66</v>
      </c>
      <c r="H956">
        <v>3</v>
      </c>
      <c r="I956">
        <v>34992.92</v>
      </c>
      <c r="J956" s="2">
        <v>0.2</v>
      </c>
      <c r="K956" t="s">
        <v>18</v>
      </c>
      <c r="L956">
        <v>83983.01</v>
      </c>
      <c r="M956" t="str">
        <f>TEXT(Table1[[#This Row],[OrderDate]], "mmm")</f>
        <v>Dec</v>
      </c>
      <c r="N956" t="str">
        <f>IF(Table1[[#This Row],[TotalSales]]&gt;50000,"High",IF(L956&gt;20000,"Medium","Low"))</f>
        <v>High</v>
      </c>
      <c r="O956">
        <f>Table1[[#This Row],[TotalSales]]/Table1[[#This Row],[Quantity]]</f>
        <v>27994.336666666666</v>
      </c>
    </row>
    <row r="957" spans="1:15" x14ac:dyDescent="0.35">
      <c r="A957" t="s">
        <v>1015</v>
      </c>
      <c r="B957" s="1">
        <v>45491</v>
      </c>
      <c r="C957" t="s">
        <v>40</v>
      </c>
      <c r="D957" t="s">
        <v>41</v>
      </c>
      <c r="E957" t="s">
        <v>28</v>
      </c>
      <c r="F957" t="s">
        <v>76</v>
      </c>
      <c r="G957" t="s">
        <v>43</v>
      </c>
      <c r="H957">
        <v>15</v>
      </c>
      <c r="I957">
        <v>28791.82</v>
      </c>
      <c r="J957" s="2">
        <v>0.05</v>
      </c>
      <c r="K957" t="s">
        <v>31</v>
      </c>
      <c r="L957">
        <v>410283.43</v>
      </c>
      <c r="M957" t="str">
        <f>TEXT(Table1[[#This Row],[OrderDate]], "mmm")</f>
        <v>Jul</v>
      </c>
      <c r="N957" t="str">
        <f>IF(Table1[[#This Row],[TotalSales]]&gt;50000,"High",IF(L957&gt;20000,"Medium","Low"))</f>
        <v>High</v>
      </c>
      <c r="O957">
        <f>Table1[[#This Row],[TotalSales]]/Table1[[#This Row],[Quantity]]</f>
        <v>27352.228666666666</v>
      </c>
    </row>
    <row r="958" spans="1:15" x14ac:dyDescent="0.35">
      <c r="A958" t="s">
        <v>1016</v>
      </c>
      <c r="B958" s="1">
        <v>45605</v>
      </c>
      <c r="C958" t="s">
        <v>20</v>
      </c>
      <c r="D958" t="s">
        <v>21</v>
      </c>
      <c r="E958" t="s">
        <v>28</v>
      </c>
      <c r="F958" t="s">
        <v>29</v>
      </c>
      <c r="G958" t="s">
        <v>69</v>
      </c>
      <c r="H958">
        <v>10</v>
      </c>
      <c r="I958">
        <v>52768.31</v>
      </c>
      <c r="J958" s="2">
        <v>0</v>
      </c>
      <c r="K958" t="s">
        <v>25</v>
      </c>
      <c r="L958">
        <v>527683.1</v>
      </c>
      <c r="M958" t="str">
        <f>TEXT(Table1[[#This Row],[OrderDate]], "mmm")</f>
        <v>Nov</v>
      </c>
      <c r="N958" t="str">
        <f>IF(Table1[[#This Row],[TotalSales]]&gt;50000,"High",IF(L958&gt;20000,"Medium","Low"))</f>
        <v>High</v>
      </c>
      <c r="O958">
        <f>Table1[[#This Row],[TotalSales]]/Table1[[#This Row],[Quantity]]</f>
        <v>52768.31</v>
      </c>
    </row>
    <row r="959" spans="1:15" x14ac:dyDescent="0.35">
      <c r="A959" t="s">
        <v>1017</v>
      </c>
      <c r="B959" s="1">
        <v>45391</v>
      </c>
      <c r="C959" t="s">
        <v>40</v>
      </c>
      <c r="D959" t="s">
        <v>51</v>
      </c>
      <c r="E959" t="s">
        <v>22</v>
      </c>
      <c r="F959" t="s">
        <v>82</v>
      </c>
      <c r="G959" t="s">
        <v>24</v>
      </c>
      <c r="H959">
        <v>4</v>
      </c>
      <c r="I959">
        <v>45921.23</v>
      </c>
      <c r="J959" s="2">
        <v>0</v>
      </c>
      <c r="K959" t="s">
        <v>18</v>
      </c>
      <c r="L959">
        <v>183684.92</v>
      </c>
      <c r="M959" t="str">
        <f>TEXT(Table1[[#This Row],[OrderDate]], "mmm")</f>
        <v>Apr</v>
      </c>
      <c r="N959" t="str">
        <f>IF(Table1[[#This Row],[TotalSales]]&gt;50000,"High",IF(L959&gt;20000,"Medium","Low"))</f>
        <v>High</v>
      </c>
      <c r="O959">
        <f>Table1[[#This Row],[TotalSales]]/Table1[[#This Row],[Quantity]]</f>
        <v>45921.23</v>
      </c>
    </row>
    <row r="960" spans="1:15" x14ac:dyDescent="0.35">
      <c r="A960" t="s">
        <v>1018</v>
      </c>
      <c r="B960" s="1">
        <v>45297</v>
      </c>
      <c r="C960" t="s">
        <v>13</v>
      </c>
      <c r="D960" t="s">
        <v>37</v>
      </c>
      <c r="E960" t="s">
        <v>34</v>
      </c>
      <c r="F960" t="s">
        <v>61</v>
      </c>
      <c r="G960" t="s">
        <v>30</v>
      </c>
      <c r="H960">
        <v>11</v>
      </c>
      <c r="I960">
        <v>6627.6</v>
      </c>
      <c r="J960" s="2">
        <v>0</v>
      </c>
      <c r="K960" t="s">
        <v>44</v>
      </c>
      <c r="L960">
        <v>72903.600000000006</v>
      </c>
      <c r="M960" t="str">
        <f>TEXT(Table1[[#This Row],[OrderDate]], "mmm")</f>
        <v>Jan</v>
      </c>
      <c r="N960" t="str">
        <f>IF(Table1[[#This Row],[TotalSales]]&gt;50000,"High",IF(L960&gt;20000,"Medium","Low"))</f>
        <v>High</v>
      </c>
      <c r="O960">
        <f>Table1[[#This Row],[TotalSales]]/Table1[[#This Row],[Quantity]]</f>
        <v>6627.6</v>
      </c>
    </row>
    <row r="961" spans="1:15" x14ac:dyDescent="0.35">
      <c r="A961" t="s">
        <v>1019</v>
      </c>
      <c r="B961" s="1">
        <v>45466</v>
      </c>
      <c r="C961" t="s">
        <v>20</v>
      </c>
      <c r="D961" t="s">
        <v>27</v>
      </c>
      <c r="E961" t="s">
        <v>15</v>
      </c>
      <c r="F961" t="s">
        <v>38</v>
      </c>
      <c r="G961" t="s">
        <v>24</v>
      </c>
      <c r="H961">
        <v>15</v>
      </c>
      <c r="I961">
        <v>15111.23</v>
      </c>
      <c r="J961" s="2">
        <v>0</v>
      </c>
      <c r="K961" t="s">
        <v>25</v>
      </c>
      <c r="L961">
        <v>226668.45</v>
      </c>
      <c r="M961" t="str">
        <f>TEXT(Table1[[#This Row],[OrderDate]], "mmm")</f>
        <v>Jun</v>
      </c>
      <c r="N961" t="str">
        <f>IF(Table1[[#This Row],[TotalSales]]&gt;50000,"High",IF(L961&gt;20000,"Medium","Low"))</f>
        <v>High</v>
      </c>
      <c r="O961">
        <f>Table1[[#This Row],[TotalSales]]/Table1[[#This Row],[Quantity]]</f>
        <v>15111.230000000001</v>
      </c>
    </row>
    <row r="962" spans="1:15" x14ac:dyDescent="0.35">
      <c r="A962" t="s">
        <v>1020</v>
      </c>
      <c r="B962" s="1">
        <v>45600</v>
      </c>
      <c r="C962" t="s">
        <v>46</v>
      </c>
      <c r="D962" t="s">
        <v>47</v>
      </c>
      <c r="E962" t="s">
        <v>28</v>
      </c>
      <c r="F962" t="s">
        <v>125</v>
      </c>
      <c r="G962" t="s">
        <v>66</v>
      </c>
      <c r="H962">
        <v>10</v>
      </c>
      <c r="I962">
        <v>47606.66</v>
      </c>
      <c r="J962" s="2">
        <v>0</v>
      </c>
      <c r="K962" t="s">
        <v>31</v>
      </c>
      <c r="L962">
        <v>476066.6</v>
      </c>
      <c r="M962" t="str">
        <f>TEXT(Table1[[#This Row],[OrderDate]], "mmm")</f>
        <v>Nov</v>
      </c>
      <c r="N962" t="str">
        <f>IF(Table1[[#This Row],[TotalSales]]&gt;50000,"High",IF(L962&gt;20000,"Medium","Low"))</f>
        <v>High</v>
      </c>
      <c r="O962">
        <f>Table1[[#This Row],[TotalSales]]/Table1[[#This Row],[Quantity]]</f>
        <v>47606.659999999996</v>
      </c>
    </row>
    <row r="963" spans="1:15" x14ac:dyDescent="0.35">
      <c r="A963" t="s">
        <v>1021</v>
      </c>
      <c r="B963" s="1">
        <v>45619</v>
      </c>
      <c r="C963" t="s">
        <v>13</v>
      </c>
      <c r="D963" t="s">
        <v>37</v>
      </c>
      <c r="E963" t="s">
        <v>15</v>
      </c>
      <c r="F963" t="s">
        <v>56</v>
      </c>
      <c r="G963" t="s">
        <v>30</v>
      </c>
      <c r="H963">
        <v>9</v>
      </c>
      <c r="I963">
        <v>18219.87</v>
      </c>
      <c r="J963" s="2">
        <v>0.15</v>
      </c>
      <c r="K963" t="s">
        <v>18</v>
      </c>
      <c r="L963">
        <v>139382.01</v>
      </c>
      <c r="M963" t="str">
        <f>TEXT(Table1[[#This Row],[OrderDate]], "mmm")</f>
        <v>Nov</v>
      </c>
      <c r="N963" t="str">
        <f>IF(Table1[[#This Row],[TotalSales]]&gt;50000,"High",IF(L963&gt;20000,"Medium","Low"))</f>
        <v>High</v>
      </c>
      <c r="O963">
        <f>Table1[[#This Row],[TotalSales]]/Table1[[#This Row],[Quantity]]</f>
        <v>15486.890000000001</v>
      </c>
    </row>
    <row r="964" spans="1:15" x14ac:dyDescent="0.35">
      <c r="A964" t="s">
        <v>1022</v>
      </c>
      <c r="B964" s="1">
        <v>45428</v>
      </c>
      <c r="C964" t="s">
        <v>40</v>
      </c>
      <c r="D964" t="s">
        <v>51</v>
      </c>
      <c r="E964" t="s">
        <v>34</v>
      </c>
      <c r="F964" t="s">
        <v>61</v>
      </c>
      <c r="G964" t="s">
        <v>66</v>
      </c>
      <c r="H964">
        <v>2</v>
      </c>
      <c r="I964">
        <v>54852.18</v>
      </c>
      <c r="J964" s="2">
        <v>0.2</v>
      </c>
      <c r="K964" t="s">
        <v>31</v>
      </c>
      <c r="L964">
        <v>87763.49</v>
      </c>
      <c r="M964" t="str">
        <f>TEXT(Table1[[#This Row],[OrderDate]], "mmm")</f>
        <v>May</v>
      </c>
      <c r="N964" t="str">
        <f>IF(Table1[[#This Row],[TotalSales]]&gt;50000,"High",IF(L964&gt;20000,"Medium","Low"))</f>
        <v>High</v>
      </c>
      <c r="O964">
        <f>Table1[[#This Row],[TotalSales]]/Table1[[#This Row],[Quantity]]</f>
        <v>43881.745000000003</v>
      </c>
    </row>
    <row r="965" spans="1:15" x14ac:dyDescent="0.35">
      <c r="A965" t="s">
        <v>1023</v>
      </c>
      <c r="B965" s="1">
        <v>45414</v>
      </c>
      <c r="C965" t="s">
        <v>46</v>
      </c>
      <c r="D965" t="s">
        <v>47</v>
      </c>
      <c r="E965" t="s">
        <v>15</v>
      </c>
      <c r="F965" t="s">
        <v>16</v>
      </c>
      <c r="G965" t="s">
        <v>83</v>
      </c>
      <c r="H965">
        <v>6</v>
      </c>
      <c r="I965">
        <v>31990.69</v>
      </c>
      <c r="J965" s="2">
        <v>0.15</v>
      </c>
      <c r="K965" t="s">
        <v>25</v>
      </c>
      <c r="L965">
        <v>163152.51999999999</v>
      </c>
      <c r="M965" t="str">
        <f>TEXT(Table1[[#This Row],[OrderDate]], "mmm")</f>
        <v>May</v>
      </c>
      <c r="N965" t="str">
        <f>IF(Table1[[#This Row],[TotalSales]]&gt;50000,"High",IF(L965&gt;20000,"Medium","Low"))</f>
        <v>High</v>
      </c>
      <c r="O965">
        <f>Table1[[#This Row],[TotalSales]]/Table1[[#This Row],[Quantity]]</f>
        <v>27192.086666666666</v>
      </c>
    </row>
    <row r="966" spans="1:15" x14ac:dyDescent="0.35">
      <c r="A966" t="s">
        <v>1024</v>
      </c>
      <c r="B966" s="1">
        <v>45513</v>
      </c>
      <c r="C966" t="s">
        <v>40</v>
      </c>
      <c r="D966" t="s">
        <v>51</v>
      </c>
      <c r="E966" t="s">
        <v>34</v>
      </c>
      <c r="F966" t="s">
        <v>35</v>
      </c>
      <c r="G966" t="s">
        <v>66</v>
      </c>
      <c r="H966">
        <v>11</v>
      </c>
      <c r="I966">
        <v>49962.86</v>
      </c>
      <c r="J966" s="2">
        <v>0</v>
      </c>
      <c r="K966" t="s">
        <v>31</v>
      </c>
      <c r="L966">
        <v>549591.46</v>
      </c>
      <c r="M966" t="str">
        <f>TEXT(Table1[[#This Row],[OrderDate]], "mmm")</f>
        <v>Aug</v>
      </c>
      <c r="N966" t="str">
        <f>IF(Table1[[#This Row],[TotalSales]]&gt;50000,"High",IF(L966&gt;20000,"Medium","Low"))</f>
        <v>High</v>
      </c>
      <c r="O966">
        <f>Table1[[#This Row],[TotalSales]]/Table1[[#This Row],[Quantity]]</f>
        <v>49962.859999999993</v>
      </c>
    </row>
    <row r="967" spans="1:15" x14ac:dyDescent="0.35">
      <c r="A967" t="s">
        <v>1025</v>
      </c>
      <c r="B967" s="1">
        <v>45468</v>
      </c>
      <c r="C967" t="s">
        <v>13</v>
      </c>
      <c r="D967" t="s">
        <v>33</v>
      </c>
      <c r="E967" t="s">
        <v>34</v>
      </c>
      <c r="F967" t="s">
        <v>48</v>
      </c>
      <c r="G967" t="s">
        <v>49</v>
      </c>
      <c r="H967">
        <v>6</v>
      </c>
      <c r="I967">
        <v>53552.160000000003</v>
      </c>
      <c r="J967" s="2">
        <v>0</v>
      </c>
      <c r="K967" t="s">
        <v>18</v>
      </c>
      <c r="L967">
        <v>321312.96000000002</v>
      </c>
      <c r="M967" t="str">
        <f>TEXT(Table1[[#This Row],[OrderDate]], "mmm")</f>
        <v>Jun</v>
      </c>
      <c r="N967" t="str">
        <f>IF(Table1[[#This Row],[TotalSales]]&gt;50000,"High",IF(L967&gt;20000,"Medium","Low"))</f>
        <v>High</v>
      </c>
      <c r="O967">
        <f>Table1[[#This Row],[TotalSales]]/Table1[[#This Row],[Quantity]]</f>
        <v>53552.160000000003</v>
      </c>
    </row>
    <row r="968" spans="1:15" x14ac:dyDescent="0.35">
      <c r="A968" t="s">
        <v>1026</v>
      </c>
      <c r="B968" s="1">
        <v>45380</v>
      </c>
      <c r="C968" t="s">
        <v>40</v>
      </c>
      <c r="D968" t="s">
        <v>41</v>
      </c>
      <c r="E968" t="s">
        <v>22</v>
      </c>
      <c r="F968" t="s">
        <v>52</v>
      </c>
      <c r="G968" t="s">
        <v>69</v>
      </c>
      <c r="H968">
        <v>14</v>
      </c>
      <c r="I968">
        <v>27591.040000000001</v>
      </c>
      <c r="J968" s="2">
        <v>0</v>
      </c>
      <c r="K968" t="s">
        <v>44</v>
      </c>
      <c r="L968">
        <v>386274.56</v>
      </c>
      <c r="M968" t="str">
        <f>TEXT(Table1[[#This Row],[OrderDate]], "mmm")</f>
        <v>Mar</v>
      </c>
      <c r="N968" t="str">
        <f>IF(Table1[[#This Row],[TotalSales]]&gt;50000,"High",IF(L968&gt;20000,"Medium","Low"))</f>
        <v>High</v>
      </c>
      <c r="O968">
        <f>Table1[[#This Row],[TotalSales]]/Table1[[#This Row],[Quantity]]</f>
        <v>27591.040000000001</v>
      </c>
    </row>
    <row r="969" spans="1:15" x14ac:dyDescent="0.35">
      <c r="A969" t="s">
        <v>1027</v>
      </c>
      <c r="B969" s="1">
        <v>45499</v>
      </c>
      <c r="C969" t="s">
        <v>46</v>
      </c>
      <c r="D969" t="s">
        <v>71</v>
      </c>
      <c r="E969" t="s">
        <v>28</v>
      </c>
      <c r="F969" t="s">
        <v>76</v>
      </c>
      <c r="G969" t="s">
        <v>83</v>
      </c>
      <c r="H969">
        <v>6</v>
      </c>
      <c r="I969">
        <v>34274.620000000003</v>
      </c>
      <c r="J969" s="2">
        <v>0.15</v>
      </c>
      <c r="K969" t="s">
        <v>44</v>
      </c>
      <c r="L969">
        <v>174800.56</v>
      </c>
      <c r="M969" t="str">
        <f>TEXT(Table1[[#This Row],[OrderDate]], "mmm")</f>
        <v>Jul</v>
      </c>
      <c r="N969" t="str">
        <f>IF(Table1[[#This Row],[TotalSales]]&gt;50000,"High",IF(L969&gt;20000,"Medium","Low"))</f>
        <v>High</v>
      </c>
      <c r="O969">
        <f>Table1[[#This Row],[TotalSales]]/Table1[[#This Row],[Quantity]]</f>
        <v>29133.426666666666</v>
      </c>
    </row>
    <row r="970" spans="1:15" x14ac:dyDescent="0.35">
      <c r="A970" t="s">
        <v>1028</v>
      </c>
      <c r="B970" s="1">
        <v>45457</v>
      </c>
      <c r="C970" t="s">
        <v>20</v>
      </c>
      <c r="D970" t="s">
        <v>27</v>
      </c>
      <c r="E970" t="s">
        <v>34</v>
      </c>
      <c r="F970" t="s">
        <v>48</v>
      </c>
      <c r="G970" t="s">
        <v>24</v>
      </c>
      <c r="H970">
        <v>1</v>
      </c>
      <c r="I970">
        <v>6309.14</v>
      </c>
      <c r="J970" s="2">
        <v>0.1</v>
      </c>
      <c r="K970" t="s">
        <v>25</v>
      </c>
      <c r="L970">
        <v>5678.23</v>
      </c>
      <c r="M970" t="str">
        <f>TEXT(Table1[[#This Row],[OrderDate]], "mmm")</f>
        <v>Jun</v>
      </c>
      <c r="N970" t="str">
        <f>IF(Table1[[#This Row],[TotalSales]]&gt;50000,"High",IF(L970&gt;20000,"Medium","Low"))</f>
        <v>Low</v>
      </c>
      <c r="O970">
        <f>Table1[[#This Row],[TotalSales]]/Table1[[#This Row],[Quantity]]</f>
        <v>5678.23</v>
      </c>
    </row>
    <row r="971" spans="1:15" x14ac:dyDescent="0.35">
      <c r="A971" t="s">
        <v>1029</v>
      </c>
      <c r="B971" s="1">
        <v>45656</v>
      </c>
      <c r="C971" t="s">
        <v>46</v>
      </c>
      <c r="D971" t="s">
        <v>47</v>
      </c>
      <c r="E971" t="s">
        <v>15</v>
      </c>
      <c r="F971" t="s">
        <v>59</v>
      </c>
      <c r="G971" t="s">
        <v>66</v>
      </c>
      <c r="H971">
        <v>10</v>
      </c>
      <c r="I971">
        <v>50325.41</v>
      </c>
      <c r="J971" s="2">
        <v>0.15</v>
      </c>
      <c r="K971" t="s">
        <v>18</v>
      </c>
      <c r="L971">
        <v>427765.99</v>
      </c>
      <c r="M971" t="str">
        <f>TEXT(Table1[[#This Row],[OrderDate]], "mmm")</f>
        <v>Dec</v>
      </c>
      <c r="N971" t="str">
        <f>IF(Table1[[#This Row],[TotalSales]]&gt;50000,"High",IF(L971&gt;20000,"Medium","Low"))</f>
        <v>High</v>
      </c>
      <c r="O971">
        <f>Table1[[#This Row],[TotalSales]]/Table1[[#This Row],[Quantity]]</f>
        <v>42776.599000000002</v>
      </c>
    </row>
    <row r="972" spans="1:15" x14ac:dyDescent="0.35">
      <c r="A972" t="s">
        <v>1030</v>
      </c>
      <c r="B972" s="1">
        <v>45583</v>
      </c>
      <c r="C972" t="s">
        <v>13</v>
      </c>
      <c r="D972" t="s">
        <v>33</v>
      </c>
      <c r="E972" t="s">
        <v>34</v>
      </c>
      <c r="F972" t="s">
        <v>35</v>
      </c>
      <c r="G972" t="s">
        <v>49</v>
      </c>
      <c r="H972">
        <v>2</v>
      </c>
      <c r="I972">
        <v>17946.23</v>
      </c>
      <c r="J972" s="2">
        <v>0</v>
      </c>
      <c r="K972" t="s">
        <v>31</v>
      </c>
      <c r="L972">
        <v>35892.46</v>
      </c>
      <c r="M972" t="str">
        <f>TEXT(Table1[[#This Row],[OrderDate]], "mmm")</f>
        <v>Oct</v>
      </c>
      <c r="N972" t="str">
        <f>IF(Table1[[#This Row],[TotalSales]]&gt;50000,"High",IF(L972&gt;20000,"Medium","Low"))</f>
        <v>Medium</v>
      </c>
      <c r="O972">
        <f>Table1[[#This Row],[TotalSales]]/Table1[[#This Row],[Quantity]]</f>
        <v>17946.23</v>
      </c>
    </row>
    <row r="973" spans="1:15" x14ac:dyDescent="0.35">
      <c r="A973" t="s">
        <v>1031</v>
      </c>
      <c r="B973" s="1">
        <v>45407</v>
      </c>
      <c r="C973" t="s">
        <v>20</v>
      </c>
      <c r="D973" t="s">
        <v>27</v>
      </c>
      <c r="E973" t="s">
        <v>34</v>
      </c>
      <c r="F973" t="s">
        <v>61</v>
      </c>
      <c r="G973" t="s">
        <v>30</v>
      </c>
      <c r="H973">
        <v>8</v>
      </c>
      <c r="I973">
        <v>35704.65</v>
      </c>
      <c r="J973" s="2">
        <v>0</v>
      </c>
      <c r="K973" t="s">
        <v>25</v>
      </c>
      <c r="L973">
        <v>285637.2</v>
      </c>
      <c r="M973" t="str">
        <f>TEXT(Table1[[#This Row],[OrderDate]], "mmm")</f>
        <v>Apr</v>
      </c>
      <c r="N973" t="str">
        <f>IF(Table1[[#This Row],[TotalSales]]&gt;50000,"High",IF(L973&gt;20000,"Medium","Low"))</f>
        <v>High</v>
      </c>
      <c r="O973">
        <f>Table1[[#This Row],[TotalSales]]/Table1[[#This Row],[Quantity]]</f>
        <v>35704.65</v>
      </c>
    </row>
    <row r="974" spans="1:15" x14ac:dyDescent="0.35">
      <c r="A974" t="s">
        <v>1032</v>
      </c>
      <c r="B974" s="1">
        <v>45557</v>
      </c>
      <c r="C974" t="s">
        <v>40</v>
      </c>
      <c r="D974" t="s">
        <v>55</v>
      </c>
      <c r="E974" t="s">
        <v>34</v>
      </c>
      <c r="F974" t="s">
        <v>61</v>
      </c>
      <c r="G974" t="s">
        <v>83</v>
      </c>
      <c r="H974">
        <v>10</v>
      </c>
      <c r="I974">
        <v>22099</v>
      </c>
      <c r="J974" s="2">
        <v>0.1</v>
      </c>
      <c r="K974" t="s">
        <v>44</v>
      </c>
      <c r="L974">
        <v>198891</v>
      </c>
      <c r="M974" t="str">
        <f>TEXT(Table1[[#This Row],[OrderDate]], "mmm")</f>
        <v>Sep</v>
      </c>
      <c r="N974" t="str">
        <f>IF(Table1[[#This Row],[TotalSales]]&gt;50000,"High",IF(L974&gt;20000,"Medium","Low"))</f>
        <v>High</v>
      </c>
      <c r="O974">
        <f>Table1[[#This Row],[TotalSales]]/Table1[[#This Row],[Quantity]]</f>
        <v>19889.099999999999</v>
      </c>
    </row>
    <row r="975" spans="1:15" x14ac:dyDescent="0.35">
      <c r="A975" t="s">
        <v>1033</v>
      </c>
      <c r="B975" s="1">
        <v>45455</v>
      </c>
      <c r="C975" t="s">
        <v>13</v>
      </c>
      <c r="D975" t="s">
        <v>14</v>
      </c>
      <c r="E975" t="s">
        <v>34</v>
      </c>
      <c r="F975" t="s">
        <v>48</v>
      </c>
      <c r="G975" t="s">
        <v>24</v>
      </c>
      <c r="H975">
        <v>9</v>
      </c>
      <c r="I975">
        <v>19767.66</v>
      </c>
      <c r="J975" s="2">
        <v>0.15</v>
      </c>
      <c r="K975" t="s">
        <v>31</v>
      </c>
      <c r="L975">
        <v>151222.6</v>
      </c>
      <c r="M975" t="str">
        <f>TEXT(Table1[[#This Row],[OrderDate]], "mmm")</f>
        <v>Jun</v>
      </c>
      <c r="N975" t="str">
        <f>IF(Table1[[#This Row],[TotalSales]]&gt;50000,"High",IF(L975&gt;20000,"Medium","Low"))</f>
        <v>High</v>
      </c>
      <c r="O975">
        <f>Table1[[#This Row],[TotalSales]]/Table1[[#This Row],[Quantity]]</f>
        <v>16802.511111111111</v>
      </c>
    </row>
    <row r="976" spans="1:15" x14ac:dyDescent="0.35">
      <c r="A976" t="s">
        <v>1034</v>
      </c>
      <c r="B976" s="1">
        <v>45408</v>
      </c>
      <c r="C976" t="s">
        <v>46</v>
      </c>
      <c r="D976" t="s">
        <v>71</v>
      </c>
      <c r="E976" t="s">
        <v>34</v>
      </c>
      <c r="F976" t="s">
        <v>48</v>
      </c>
      <c r="G976" t="s">
        <v>43</v>
      </c>
      <c r="H976">
        <v>12</v>
      </c>
      <c r="I976">
        <v>19289.18</v>
      </c>
      <c r="J976" s="2">
        <v>0.15</v>
      </c>
      <c r="K976" t="s">
        <v>25</v>
      </c>
      <c r="L976">
        <v>196749.64</v>
      </c>
      <c r="M976" t="str">
        <f>TEXT(Table1[[#This Row],[OrderDate]], "mmm")</f>
        <v>Apr</v>
      </c>
      <c r="N976" t="str">
        <f>IF(Table1[[#This Row],[TotalSales]]&gt;50000,"High",IF(L976&gt;20000,"Medium","Low"))</f>
        <v>High</v>
      </c>
      <c r="O976">
        <f>Table1[[#This Row],[TotalSales]]/Table1[[#This Row],[Quantity]]</f>
        <v>16395.803333333333</v>
      </c>
    </row>
    <row r="977" spans="1:15" x14ac:dyDescent="0.35">
      <c r="A977" t="s">
        <v>1035</v>
      </c>
      <c r="B977" s="1">
        <v>45379</v>
      </c>
      <c r="C977" t="s">
        <v>40</v>
      </c>
      <c r="D977" t="s">
        <v>55</v>
      </c>
      <c r="E977" t="s">
        <v>34</v>
      </c>
      <c r="F977" t="s">
        <v>88</v>
      </c>
      <c r="G977" t="s">
        <v>17</v>
      </c>
      <c r="H977">
        <v>1</v>
      </c>
      <c r="I977">
        <v>30885.74</v>
      </c>
      <c r="J977" s="2">
        <v>0.1</v>
      </c>
      <c r="K977" t="s">
        <v>44</v>
      </c>
      <c r="L977">
        <v>27797.17</v>
      </c>
      <c r="M977" t="str">
        <f>TEXT(Table1[[#This Row],[OrderDate]], "mmm")</f>
        <v>Mar</v>
      </c>
      <c r="N977" t="str">
        <f>IF(Table1[[#This Row],[TotalSales]]&gt;50000,"High",IF(L977&gt;20000,"Medium","Low"))</f>
        <v>Medium</v>
      </c>
      <c r="O977">
        <f>Table1[[#This Row],[TotalSales]]/Table1[[#This Row],[Quantity]]</f>
        <v>27797.17</v>
      </c>
    </row>
    <row r="978" spans="1:15" x14ac:dyDescent="0.35">
      <c r="A978" t="s">
        <v>1036</v>
      </c>
      <c r="B978" s="1">
        <v>45306</v>
      </c>
      <c r="C978" t="s">
        <v>13</v>
      </c>
      <c r="D978" t="s">
        <v>33</v>
      </c>
      <c r="E978" t="s">
        <v>15</v>
      </c>
      <c r="F978" t="s">
        <v>56</v>
      </c>
      <c r="G978" t="s">
        <v>30</v>
      </c>
      <c r="H978">
        <v>12</v>
      </c>
      <c r="I978">
        <v>32956.07</v>
      </c>
      <c r="J978" s="2">
        <v>0.05</v>
      </c>
      <c r="K978" t="s">
        <v>44</v>
      </c>
      <c r="L978">
        <v>375699.20000000001</v>
      </c>
      <c r="M978" t="str">
        <f>TEXT(Table1[[#This Row],[OrderDate]], "mmm")</f>
        <v>Jan</v>
      </c>
      <c r="N978" t="str">
        <f>IF(Table1[[#This Row],[TotalSales]]&gt;50000,"High",IF(L978&gt;20000,"Medium","Low"))</f>
        <v>High</v>
      </c>
      <c r="O978">
        <f>Table1[[#This Row],[TotalSales]]/Table1[[#This Row],[Quantity]]</f>
        <v>31308.266666666666</v>
      </c>
    </row>
    <row r="979" spans="1:15" x14ac:dyDescent="0.35">
      <c r="A979" t="s">
        <v>1037</v>
      </c>
      <c r="B979" s="1">
        <v>45552</v>
      </c>
      <c r="C979" t="s">
        <v>20</v>
      </c>
      <c r="D979" t="s">
        <v>21</v>
      </c>
      <c r="E979" t="s">
        <v>28</v>
      </c>
      <c r="F979" t="s">
        <v>29</v>
      </c>
      <c r="G979" t="s">
        <v>43</v>
      </c>
      <c r="H979">
        <v>7</v>
      </c>
      <c r="I979">
        <v>8103.97</v>
      </c>
      <c r="J979" s="2">
        <v>0.1</v>
      </c>
      <c r="K979" t="s">
        <v>44</v>
      </c>
      <c r="L979">
        <v>51055.01</v>
      </c>
      <c r="M979" t="str">
        <f>TEXT(Table1[[#This Row],[OrderDate]], "mmm")</f>
        <v>Sep</v>
      </c>
      <c r="N979" t="str">
        <f>IF(Table1[[#This Row],[TotalSales]]&gt;50000,"High",IF(L979&gt;20000,"Medium","Low"))</f>
        <v>High</v>
      </c>
      <c r="O979">
        <f>Table1[[#This Row],[TotalSales]]/Table1[[#This Row],[Quantity]]</f>
        <v>7293.5728571428572</v>
      </c>
    </row>
    <row r="980" spans="1:15" x14ac:dyDescent="0.35">
      <c r="A980" t="s">
        <v>1038</v>
      </c>
      <c r="B980" s="1">
        <v>45503</v>
      </c>
      <c r="C980" t="s">
        <v>46</v>
      </c>
      <c r="D980" t="s">
        <v>71</v>
      </c>
      <c r="E980" t="s">
        <v>15</v>
      </c>
      <c r="F980" t="s">
        <v>16</v>
      </c>
      <c r="G980" t="s">
        <v>24</v>
      </c>
      <c r="H980">
        <v>12</v>
      </c>
      <c r="I980">
        <v>9034.16</v>
      </c>
      <c r="J980" s="2">
        <v>0</v>
      </c>
      <c r="K980" t="s">
        <v>31</v>
      </c>
      <c r="L980">
        <v>108409.92</v>
      </c>
      <c r="M980" t="str">
        <f>TEXT(Table1[[#This Row],[OrderDate]], "mmm")</f>
        <v>Jul</v>
      </c>
      <c r="N980" t="str">
        <f>IF(Table1[[#This Row],[TotalSales]]&gt;50000,"High",IF(L980&gt;20000,"Medium","Low"))</f>
        <v>High</v>
      </c>
      <c r="O980">
        <f>Table1[[#This Row],[TotalSales]]/Table1[[#This Row],[Quantity]]</f>
        <v>9034.16</v>
      </c>
    </row>
    <row r="981" spans="1:15" x14ac:dyDescent="0.35">
      <c r="A981" t="s">
        <v>1039</v>
      </c>
      <c r="B981" s="1">
        <v>45340</v>
      </c>
      <c r="C981" t="s">
        <v>13</v>
      </c>
      <c r="D981" t="s">
        <v>14</v>
      </c>
      <c r="E981" t="s">
        <v>34</v>
      </c>
      <c r="F981" t="s">
        <v>35</v>
      </c>
      <c r="G981" t="s">
        <v>83</v>
      </c>
      <c r="H981">
        <v>7</v>
      </c>
      <c r="I981">
        <v>31655.360000000001</v>
      </c>
      <c r="J981" s="2">
        <v>0.15</v>
      </c>
      <c r="K981" t="s">
        <v>18</v>
      </c>
      <c r="L981">
        <v>188349.39</v>
      </c>
      <c r="M981" t="str">
        <f>TEXT(Table1[[#This Row],[OrderDate]], "mmm")</f>
        <v>Feb</v>
      </c>
      <c r="N981" t="str">
        <f>IF(Table1[[#This Row],[TotalSales]]&gt;50000,"High",IF(L981&gt;20000,"Medium","Low"))</f>
        <v>High</v>
      </c>
      <c r="O981">
        <f>Table1[[#This Row],[TotalSales]]/Table1[[#This Row],[Quantity]]</f>
        <v>26907.055714285718</v>
      </c>
    </row>
    <row r="982" spans="1:15" x14ac:dyDescent="0.35">
      <c r="A982" t="s">
        <v>1040</v>
      </c>
      <c r="B982" s="1">
        <v>45654</v>
      </c>
      <c r="C982" t="s">
        <v>13</v>
      </c>
      <c r="D982" t="s">
        <v>14</v>
      </c>
      <c r="E982" t="s">
        <v>15</v>
      </c>
      <c r="F982" t="s">
        <v>56</v>
      </c>
      <c r="G982" t="s">
        <v>17</v>
      </c>
      <c r="H982">
        <v>7</v>
      </c>
      <c r="I982">
        <v>48372.74</v>
      </c>
      <c r="J982" s="2">
        <v>0.05</v>
      </c>
      <c r="K982" t="s">
        <v>44</v>
      </c>
      <c r="L982">
        <v>321678.71999999997</v>
      </c>
      <c r="M982" t="str">
        <f>TEXT(Table1[[#This Row],[OrderDate]], "mmm")</f>
        <v>Dec</v>
      </c>
      <c r="N982" t="str">
        <f>IF(Table1[[#This Row],[TotalSales]]&gt;50000,"High",IF(L982&gt;20000,"Medium","Low"))</f>
        <v>High</v>
      </c>
      <c r="O982">
        <f>Table1[[#This Row],[TotalSales]]/Table1[[#This Row],[Quantity]]</f>
        <v>45954.102857142854</v>
      </c>
    </row>
    <row r="983" spans="1:15" x14ac:dyDescent="0.35">
      <c r="A983" t="s">
        <v>1041</v>
      </c>
      <c r="B983" s="1">
        <v>45602</v>
      </c>
      <c r="C983" t="s">
        <v>13</v>
      </c>
      <c r="D983" t="s">
        <v>14</v>
      </c>
      <c r="E983" t="s">
        <v>34</v>
      </c>
      <c r="F983" t="s">
        <v>35</v>
      </c>
      <c r="G983" t="s">
        <v>43</v>
      </c>
      <c r="H983">
        <v>1</v>
      </c>
      <c r="I983">
        <v>54014.15</v>
      </c>
      <c r="J983" s="2">
        <v>0</v>
      </c>
      <c r="K983" t="s">
        <v>31</v>
      </c>
      <c r="L983">
        <v>54014.15</v>
      </c>
      <c r="M983" t="str">
        <f>TEXT(Table1[[#This Row],[OrderDate]], "mmm")</f>
        <v>Nov</v>
      </c>
      <c r="N983" t="str">
        <f>IF(Table1[[#This Row],[TotalSales]]&gt;50000,"High",IF(L983&gt;20000,"Medium","Low"))</f>
        <v>High</v>
      </c>
      <c r="O983">
        <f>Table1[[#This Row],[TotalSales]]/Table1[[#This Row],[Quantity]]</f>
        <v>54014.15</v>
      </c>
    </row>
    <row r="984" spans="1:15" x14ac:dyDescent="0.35">
      <c r="A984" t="s">
        <v>1042</v>
      </c>
      <c r="B984" s="1">
        <v>45582</v>
      </c>
      <c r="C984" t="s">
        <v>13</v>
      </c>
      <c r="D984" t="s">
        <v>14</v>
      </c>
      <c r="E984" t="s">
        <v>28</v>
      </c>
      <c r="F984" t="s">
        <v>104</v>
      </c>
      <c r="G984" t="s">
        <v>69</v>
      </c>
      <c r="H984">
        <v>10</v>
      </c>
      <c r="I984">
        <v>20741.009999999998</v>
      </c>
      <c r="J984" s="2">
        <v>0</v>
      </c>
      <c r="K984" t="s">
        <v>44</v>
      </c>
      <c r="L984">
        <v>207410.1</v>
      </c>
      <c r="M984" t="str">
        <f>TEXT(Table1[[#This Row],[OrderDate]], "mmm")</f>
        <v>Oct</v>
      </c>
      <c r="N984" t="str">
        <f>IF(Table1[[#This Row],[TotalSales]]&gt;50000,"High",IF(L984&gt;20000,"Medium","Low"))</f>
        <v>High</v>
      </c>
      <c r="O984">
        <f>Table1[[#This Row],[TotalSales]]/Table1[[#This Row],[Quantity]]</f>
        <v>20741.010000000002</v>
      </c>
    </row>
    <row r="985" spans="1:15" x14ac:dyDescent="0.35">
      <c r="A985" t="s">
        <v>1043</v>
      </c>
      <c r="B985" s="1">
        <v>45382</v>
      </c>
      <c r="C985" t="s">
        <v>13</v>
      </c>
      <c r="D985" t="s">
        <v>33</v>
      </c>
      <c r="E985" t="s">
        <v>15</v>
      </c>
      <c r="F985" t="s">
        <v>59</v>
      </c>
      <c r="G985" t="s">
        <v>43</v>
      </c>
      <c r="H985">
        <v>15</v>
      </c>
      <c r="I985">
        <v>24350.23</v>
      </c>
      <c r="J985" s="2">
        <v>0.2</v>
      </c>
      <c r="K985" t="s">
        <v>31</v>
      </c>
      <c r="L985">
        <v>292202.76</v>
      </c>
      <c r="M985" t="str">
        <f>TEXT(Table1[[#This Row],[OrderDate]], "mmm")</f>
        <v>Mar</v>
      </c>
      <c r="N985" t="str">
        <f>IF(Table1[[#This Row],[TotalSales]]&gt;50000,"High",IF(L985&gt;20000,"Medium","Low"))</f>
        <v>High</v>
      </c>
      <c r="O985">
        <f>Table1[[#This Row],[TotalSales]]/Table1[[#This Row],[Quantity]]</f>
        <v>19480.184000000001</v>
      </c>
    </row>
    <row r="986" spans="1:15" x14ac:dyDescent="0.35">
      <c r="A986" t="s">
        <v>1044</v>
      </c>
      <c r="B986" s="1">
        <v>45470</v>
      </c>
      <c r="C986" t="s">
        <v>13</v>
      </c>
      <c r="D986" t="s">
        <v>14</v>
      </c>
      <c r="E986" t="s">
        <v>15</v>
      </c>
      <c r="F986" t="s">
        <v>56</v>
      </c>
      <c r="G986" t="s">
        <v>83</v>
      </c>
      <c r="H986">
        <v>11</v>
      </c>
      <c r="I986">
        <v>10086.84</v>
      </c>
      <c r="J986" s="2">
        <v>0.1</v>
      </c>
      <c r="K986" t="s">
        <v>25</v>
      </c>
      <c r="L986">
        <v>99859.72</v>
      </c>
      <c r="M986" t="str">
        <f>TEXT(Table1[[#This Row],[OrderDate]], "mmm")</f>
        <v>Jun</v>
      </c>
      <c r="N986" t="str">
        <f>IF(Table1[[#This Row],[TotalSales]]&gt;50000,"High",IF(L986&gt;20000,"Medium","Low"))</f>
        <v>High</v>
      </c>
      <c r="O986">
        <f>Table1[[#This Row],[TotalSales]]/Table1[[#This Row],[Quantity]]</f>
        <v>9078.1563636363644</v>
      </c>
    </row>
    <row r="987" spans="1:15" x14ac:dyDescent="0.35">
      <c r="A987" t="s">
        <v>1045</v>
      </c>
      <c r="B987" s="1">
        <v>45575</v>
      </c>
      <c r="C987" t="s">
        <v>46</v>
      </c>
      <c r="D987" t="s">
        <v>71</v>
      </c>
      <c r="E987" t="s">
        <v>34</v>
      </c>
      <c r="F987" t="s">
        <v>88</v>
      </c>
      <c r="G987" t="s">
        <v>43</v>
      </c>
      <c r="H987">
        <v>2</v>
      </c>
      <c r="I987">
        <v>18741.25</v>
      </c>
      <c r="J987" s="2">
        <v>0</v>
      </c>
      <c r="K987" t="s">
        <v>44</v>
      </c>
      <c r="L987">
        <v>37482.5</v>
      </c>
      <c r="M987" t="str">
        <f>TEXT(Table1[[#This Row],[OrderDate]], "mmm")</f>
        <v>Oct</v>
      </c>
      <c r="N987" t="str">
        <f>IF(Table1[[#This Row],[TotalSales]]&gt;50000,"High",IF(L987&gt;20000,"Medium","Low"))</f>
        <v>Medium</v>
      </c>
      <c r="O987">
        <f>Table1[[#This Row],[TotalSales]]/Table1[[#This Row],[Quantity]]</f>
        <v>18741.25</v>
      </c>
    </row>
    <row r="988" spans="1:15" x14ac:dyDescent="0.35">
      <c r="A988" t="s">
        <v>1046</v>
      </c>
      <c r="B988" s="1">
        <v>45338</v>
      </c>
      <c r="C988" t="s">
        <v>46</v>
      </c>
      <c r="D988" t="s">
        <v>71</v>
      </c>
      <c r="E988" t="s">
        <v>15</v>
      </c>
      <c r="F988" t="s">
        <v>38</v>
      </c>
      <c r="G988" t="s">
        <v>69</v>
      </c>
      <c r="H988">
        <v>11</v>
      </c>
      <c r="I988">
        <v>36083.269999999997</v>
      </c>
      <c r="J988" s="2">
        <v>0.1</v>
      </c>
      <c r="K988" t="s">
        <v>44</v>
      </c>
      <c r="L988">
        <v>357224.37</v>
      </c>
      <c r="M988" t="str">
        <f>TEXT(Table1[[#This Row],[OrderDate]], "mmm")</f>
        <v>Feb</v>
      </c>
      <c r="N988" t="str">
        <f>IF(Table1[[#This Row],[TotalSales]]&gt;50000,"High",IF(L988&gt;20000,"Medium","Low"))</f>
        <v>High</v>
      </c>
      <c r="O988">
        <f>Table1[[#This Row],[TotalSales]]/Table1[[#This Row],[Quantity]]</f>
        <v>32474.942727272726</v>
      </c>
    </row>
    <row r="989" spans="1:15" x14ac:dyDescent="0.35">
      <c r="A989" t="s">
        <v>1047</v>
      </c>
      <c r="B989" s="1">
        <v>45441</v>
      </c>
      <c r="C989" t="s">
        <v>40</v>
      </c>
      <c r="D989" t="s">
        <v>55</v>
      </c>
      <c r="E989" t="s">
        <v>28</v>
      </c>
      <c r="F989" t="s">
        <v>125</v>
      </c>
      <c r="G989" t="s">
        <v>30</v>
      </c>
      <c r="H989">
        <v>11</v>
      </c>
      <c r="I989">
        <v>23562.29</v>
      </c>
      <c r="J989" s="2">
        <v>0.05</v>
      </c>
      <c r="K989" t="s">
        <v>25</v>
      </c>
      <c r="L989">
        <v>246225.93</v>
      </c>
      <c r="M989" t="str">
        <f>TEXT(Table1[[#This Row],[OrderDate]], "mmm")</f>
        <v>May</v>
      </c>
      <c r="N989" t="str">
        <f>IF(Table1[[#This Row],[TotalSales]]&gt;50000,"High",IF(L989&gt;20000,"Medium","Low"))</f>
        <v>High</v>
      </c>
      <c r="O989">
        <f>Table1[[#This Row],[TotalSales]]/Table1[[#This Row],[Quantity]]</f>
        <v>22384.175454545453</v>
      </c>
    </row>
    <row r="990" spans="1:15" x14ac:dyDescent="0.35">
      <c r="A990" t="s">
        <v>1048</v>
      </c>
      <c r="B990" s="1">
        <v>45649</v>
      </c>
      <c r="C990" t="s">
        <v>13</v>
      </c>
      <c r="D990" t="s">
        <v>33</v>
      </c>
      <c r="E990" t="s">
        <v>28</v>
      </c>
      <c r="F990" t="s">
        <v>104</v>
      </c>
      <c r="G990" t="s">
        <v>24</v>
      </c>
      <c r="H990">
        <v>1</v>
      </c>
      <c r="I990">
        <v>29109.75</v>
      </c>
      <c r="J990" s="2">
        <v>0</v>
      </c>
      <c r="K990" t="s">
        <v>44</v>
      </c>
      <c r="L990">
        <v>29109.75</v>
      </c>
      <c r="M990" t="str">
        <f>TEXT(Table1[[#This Row],[OrderDate]], "mmm")</f>
        <v>Dec</v>
      </c>
      <c r="N990" t="str">
        <f>IF(Table1[[#This Row],[TotalSales]]&gt;50000,"High",IF(L990&gt;20000,"Medium","Low"))</f>
        <v>Medium</v>
      </c>
      <c r="O990">
        <f>Table1[[#This Row],[TotalSales]]/Table1[[#This Row],[Quantity]]</f>
        <v>29109.75</v>
      </c>
    </row>
    <row r="991" spans="1:15" x14ac:dyDescent="0.35">
      <c r="A991" t="s">
        <v>1049</v>
      </c>
      <c r="B991" s="1">
        <v>45489</v>
      </c>
      <c r="C991" t="s">
        <v>46</v>
      </c>
      <c r="D991" t="s">
        <v>79</v>
      </c>
      <c r="E991" t="s">
        <v>15</v>
      </c>
      <c r="F991" t="s">
        <v>16</v>
      </c>
      <c r="G991" t="s">
        <v>24</v>
      </c>
      <c r="H991">
        <v>4</v>
      </c>
      <c r="I991">
        <v>19476.759999999998</v>
      </c>
      <c r="J991" s="2">
        <v>0.1</v>
      </c>
      <c r="K991" t="s">
        <v>44</v>
      </c>
      <c r="L991">
        <v>70116.34</v>
      </c>
      <c r="M991" t="str">
        <f>TEXT(Table1[[#This Row],[OrderDate]], "mmm")</f>
        <v>Jul</v>
      </c>
      <c r="N991" t="str">
        <f>IF(Table1[[#This Row],[TotalSales]]&gt;50000,"High",IF(L991&gt;20000,"Medium","Low"))</f>
        <v>High</v>
      </c>
      <c r="O991">
        <f>Table1[[#This Row],[TotalSales]]/Table1[[#This Row],[Quantity]]</f>
        <v>17529.084999999999</v>
      </c>
    </row>
    <row r="992" spans="1:15" x14ac:dyDescent="0.35">
      <c r="A992" t="s">
        <v>1050</v>
      </c>
      <c r="B992" s="1">
        <v>45387</v>
      </c>
      <c r="C992" t="s">
        <v>46</v>
      </c>
      <c r="D992" t="s">
        <v>79</v>
      </c>
      <c r="E992" t="s">
        <v>15</v>
      </c>
      <c r="F992" t="s">
        <v>59</v>
      </c>
      <c r="G992" t="s">
        <v>43</v>
      </c>
      <c r="H992">
        <v>15</v>
      </c>
      <c r="I992">
        <v>12341.88</v>
      </c>
      <c r="J992" s="2">
        <v>0</v>
      </c>
      <c r="K992" t="s">
        <v>31</v>
      </c>
      <c r="L992">
        <v>185128.2</v>
      </c>
      <c r="M992" t="str">
        <f>TEXT(Table1[[#This Row],[OrderDate]], "mmm")</f>
        <v>Apr</v>
      </c>
      <c r="N992" t="str">
        <f>IF(Table1[[#This Row],[TotalSales]]&gt;50000,"High",IF(L992&gt;20000,"Medium","Low"))</f>
        <v>High</v>
      </c>
      <c r="O992">
        <f>Table1[[#This Row],[TotalSales]]/Table1[[#This Row],[Quantity]]</f>
        <v>12341.880000000001</v>
      </c>
    </row>
    <row r="993" spans="1:15" x14ac:dyDescent="0.35">
      <c r="A993" t="s">
        <v>1051</v>
      </c>
      <c r="B993" s="1">
        <v>45294</v>
      </c>
      <c r="C993" t="s">
        <v>46</v>
      </c>
      <c r="D993" t="s">
        <v>79</v>
      </c>
      <c r="E993" t="s">
        <v>34</v>
      </c>
      <c r="F993" t="s">
        <v>61</v>
      </c>
      <c r="G993" t="s">
        <v>69</v>
      </c>
      <c r="H993">
        <v>15</v>
      </c>
      <c r="I993">
        <v>13373.23</v>
      </c>
      <c r="J993" s="2">
        <v>0.2</v>
      </c>
      <c r="K993" t="s">
        <v>44</v>
      </c>
      <c r="L993">
        <v>160478.76</v>
      </c>
      <c r="M993" t="str">
        <f>TEXT(Table1[[#This Row],[OrderDate]], "mmm")</f>
        <v>Jan</v>
      </c>
      <c r="N993" t="str">
        <f>IF(Table1[[#This Row],[TotalSales]]&gt;50000,"High",IF(L993&gt;20000,"Medium","Low"))</f>
        <v>High</v>
      </c>
      <c r="O993">
        <f>Table1[[#This Row],[TotalSales]]/Table1[[#This Row],[Quantity]]</f>
        <v>10698.584000000001</v>
      </c>
    </row>
    <row r="994" spans="1:15" x14ac:dyDescent="0.35">
      <c r="A994" t="s">
        <v>1052</v>
      </c>
      <c r="B994" s="1">
        <v>45598</v>
      </c>
      <c r="C994" t="s">
        <v>20</v>
      </c>
      <c r="D994" t="s">
        <v>27</v>
      </c>
      <c r="E994" t="s">
        <v>34</v>
      </c>
      <c r="F994" t="s">
        <v>35</v>
      </c>
      <c r="G994" t="s">
        <v>49</v>
      </c>
      <c r="H994">
        <v>4</v>
      </c>
      <c r="I994">
        <v>34272.65</v>
      </c>
      <c r="J994" s="2">
        <v>0</v>
      </c>
      <c r="K994" t="s">
        <v>18</v>
      </c>
      <c r="L994">
        <v>137090.6</v>
      </c>
      <c r="M994" t="str">
        <f>TEXT(Table1[[#This Row],[OrderDate]], "mmm")</f>
        <v>Nov</v>
      </c>
      <c r="N994" t="str">
        <f>IF(Table1[[#This Row],[TotalSales]]&gt;50000,"High",IF(L994&gt;20000,"Medium","Low"))</f>
        <v>High</v>
      </c>
      <c r="O994">
        <f>Table1[[#This Row],[TotalSales]]/Table1[[#This Row],[Quantity]]</f>
        <v>34272.65</v>
      </c>
    </row>
    <row r="995" spans="1:15" x14ac:dyDescent="0.35">
      <c r="A995" t="s">
        <v>1053</v>
      </c>
      <c r="B995" s="1">
        <v>45503</v>
      </c>
      <c r="C995" t="s">
        <v>46</v>
      </c>
      <c r="D995" t="s">
        <v>79</v>
      </c>
      <c r="E995" t="s">
        <v>28</v>
      </c>
      <c r="F995" t="s">
        <v>104</v>
      </c>
      <c r="G995" t="s">
        <v>66</v>
      </c>
      <c r="H995">
        <v>7</v>
      </c>
      <c r="I995">
        <v>15439.15</v>
      </c>
      <c r="J995" s="2">
        <v>0</v>
      </c>
      <c r="K995" t="s">
        <v>31</v>
      </c>
      <c r="L995">
        <v>108074.05</v>
      </c>
      <c r="M995" t="str">
        <f>TEXT(Table1[[#This Row],[OrderDate]], "mmm")</f>
        <v>Jul</v>
      </c>
      <c r="N995" t="str">
        <f>IF(Table1[[#This Row],[TotalSales]]&gt;50000,"High",IF(L995&gt;20000,"Medium","Low"))</f>
        <v>High</v>
      </c>
      <c r="O995">
        <f>Table1[[#This Row],[TotalSales]]/Table1[[#This Row],[Quantity]]</f>
        <v>15439.15</v>
      </c>
    </row>
    <row r="996" spans="1:15" x14ac:dyDescent="0.35">
      <c r="A996" t="s">
        <v>1054</v>
      </c>
      <c r="B996" s="1">
        <v>45618</v>
      </c>
      <c r="C996" t="s">
        <v>20</v>
      </c>
      <c r="D996" t="s">
        <v>27</v>
      </c>
      <c r="E996" t="s">
        <v>34</v>
      </c>
      <c r="F996" t="s">
        <v>61</v>
      </c>
      <c r="G996" t="s">
        <v>49</v>
      </c>
      <c r="H996">
        <v>2</v>
      </c>
      <c r="I996">
        <v>6517.26</v>
      </c>
      <c r="J996" s="2">
        <v>0.2</v>
      </c>
      <c r="K996" t="s">
        <v>25</v>
      </c>
      <c r="L996">
        <v>10427.620000000001</v>
      </c>
      <c r="M996" t="str">
        <f>TEXT(Table1[[#This Row],[OrderDate]], "mmm")</f>
        <v>Nov</v>
      </c>
      <c r="N996" t="str">
        <f>IF(Table1[[#This Row],[TotalSales]]&gt;50000,"High",IF(L996&gt;20000,"Medium","Low"))</f>
        <v>Low</v>
      </c>
      <c r="O996">
        <f>Table1[[#This Row],[TotalSales]]/Table1[[#This Row],[Quantity]]</f>
        <v>5213.8100000000004</v>
      </c>
    </row>
    <row r="997" spans="1:15" x14ac:dyDescent="0.35">
      <c r="A997" t="s">
        <v>1055</v>
      </c>
      <c r="B997" s="1">
        <v>45425</v>
      </c>
      <c r="C997" t="s">
        <v>13</v>
      </c>
      <c r="D997" t="s">
        <v>33</v>
      </c>
      <c r="E997" t="s">
        <v>28</v>
      </c>
      <c r="F997" t="s">
        <v>29</v>
      </c>
      <c r="G997" t="s">
        <v>30</v>
      </c>
      <c r="H997">
        <v>2</v>
      </c>
      <c r="I997">
        <v>41902.21</v>
      </c>
      <c r="J997" s="2">
        <v>0.05</v>
      </c>
      <c r="K997" t="s">
        <v>18</v>
      </c>
      <c r="L997">
        <v>79614.2</v>
      </c>
      <c r="M997" t="str">
        <f>TEXT(Table1[[#This Row],[OrderDate]], "mmm")</f>
        <v>May</v>
      </c>
      <c r="N997" t="str">
        <f>IF(Table1[[#This Row],[TotalSales]]&gt;50000,"High",IF(L997&gt;20000,"Medium","Low"))</f>
        <v>High</v>
      </c>
      <c r="O997">
        <f>Table1[[#This Row],[TotalSales]]/Table1[[#This Row],[Quantity]]</f>
        <v>39807.1</v>
      </c>
    </row>
    <row r="998" spans="1:15" x14ac:dyDescent="0.35">
      <c r="A998" t="s">
        <v>1056</v>
      </c>
      <c r="B998" s="1">
        <v>45347</v>
      </c>
      <c r="C998" t="s">
        <v>40</v>
      </c>
      <c r="D998" t="s">
        <v>41</v>
      </c>
      <c r="E998" t="s">
        <v>22</v>
      </c>
      <c r="F998" t="s">
        <v>23</v>
      </c>
      <c r="G998" t="s">
        <v>66</v>
      </c>
      <c r="H998">
        <v>2</v>
      </c>
      <c r="I998">
        <v>12729.75</v>
      </c>
      <c r="J998" s="2">
        <v>0.2</v>
      </c>
      <c r="K998" t="s">
        <v>44</v>
      </c>
      <c r="L998">
        <v>20367.599999999999</v>
      </c>
      <c r="M998" t="str">
        <f>TEXT(Table1[[#This Row],[OrderDate]], "mmm")</f>
        <v>Feb</v>
      </c>
      <c r="N998" t="str">
        <f>IF(Table1[[#This Row],[TotalSales]]&gt;50000,"High",IF(L998&gt;20000,"Medium","Low"))</f>
        <v>Medium</v>
      </c>
      <c r="O998">
        <f>Table1[[#This Row],[TotalSales]]/Table1[[#This Row],[Quantity]]</f>
        <v>10183.799999999999</v>
      </c>
    </row>
    <row r="999" spans="1:15" x14ac:dyDescent="0.35">
      <c r="A999" t="s">
        <v>1057</v>
      </c>
      <c r="B999" s="1">
        <v>45313</v>
      </c>
      <c r="C999" t="s">
        <v>40</v>
      </c>
      <c r="D999" t="s">
        <v>51</v>
      </c>
      <c r="E999" t="s">
        <v>34</v>
      </c>
      <c r="F999" t="s">
        <v>61</v>
      </c>
      <c r="G999" t="s">
        <v>43</v>
      </c>
      <c r="H999">
        <v>11</v>
      </c>
      <c r="I999">
        <v>51362.13</v>
      </c>
      <c r="J999" s="2">
        <v>0.2</v>
      </c>
      <c r="K999" t="s">
        <v>18</v>
      </c>
      <c r="L999">
        <v>451986.74</v>
      </c>
      <c r="M999" t="str">
        <f>TEXT(Table1[[#This Row],[OrderDate]], "mmm")</f>
        <v>Jan</v>
      </c>
      <c r="N999" t="str">
        <f>IF(Table1[[#This Row],[TotalSales]]&gt;50000,"High",IF(L999&gt;20000,"Medium","Low"))</f>
        <v>High</v>
      </c>
      <c r="O999">
        <f>Table1[[#This Row],[TotalSales]]/Table1[[#This Row],[Quantity]]</f>
        <v>41089.703636363636</v>
      </c>
    </row>
    <row r="1000" spans="1:15" x14ac:dyDescent="0.35">
      <c r="A1000" t="s">
        <v>1058</v>
      </c>
      <c r="B1000" s="1">
        <v>45528</v>
      </c>
      <c r="C1000" t="s">
        <v>20</v>
      </c>
      <c r="D1000" t="s">
        <v>97</v>
      </c>
      <c r="E1000" t="s">
        <v>28</v>
      </c>
      <c r="F1000" t="s">
        <v>29</v>
      </c>
      <c r="G1000" t="s">
        <v>24</v>
      </c>
      <c r="H1000">
        <v>4</v>
      </c>
      <c r="I1000">
        <v>49605.64</v>
      </c>
      <c r="J1000" s="2">
        <v>0</v>
      </c>
      <c r="K1000" t="s">
        <v>18</v>
      </c>
      <c r="L1000">
        <v>198422.56</v>
      </c>
      <c r="M1000" t="str">
        <f>TEXT(Table1[[#This Row],[OrderDate]], "mmm")</f>
        <v>Aug</v>
      </c>
      <c r="N1000" t="str">
        <f>IF(Table1[[#This Row],[TotalSales]]&gt;50000,"High",IF(L1000&gt;20000,"Medium","Low"))</f>
        <v>High</v>
      </c>
      <c r="O1000">
        <f>Table1[[#This Row],[TotalSales]]/Table1[[#This Row],[Quantity]]</f>
        <v>49605.64</v>
      </c>
    </row>
    <row r="1001" spans="1:15" x14ac:dyDescent="0.35">
      <c r="A1001" t="s">
        <v>1059</v>
      </c>
      <c r="B1001" s="1">
        <v>45327</v>
      </c>
      <c r="C1001" t="s">
        <v>46</v>
      </c>
      <c r="D1001" t="s">
        <v>79</v>
      </c>
      <c r="E1001" t="s">
        <v>28</v>
      </c>
      <c r="F1001" t="s">
        <v>104</v>
      </c>
      <c r="G1001" t="s">
        <v>17</v>
      </c>
      <c r="H1001">
        <v>14</v>
      </c>
      <c r="I1001">
        <v>13668.53</v>
      </c>
      <c r="J1001" s="2">
        <v>0.1</v>
      </c>
      <c r="K1001" t="s">
        <v>31</v>
      </c>
      <c r="L1001">
        <v>172223.48</v>
      </c>
      <c r="M1001" t="str">
        <f>TEXT(Table1[[#This Row],[OrderDate]], "mmm")</f>
        <v>Feb</v>
      </c>
      <c r="N1001" t="str">
        <f>IF(Table1[[#This Row],[TotalSales]]&gt;50000,"High",IF(L1001&gt;20000,"Medium","Low"))</f>
        <v>High</v>
      </c>
      <c r="O1001">
        <f>Table1[[#This Row],[TotalSales]]/Table1[[#This Row],[Quantity]]</f>
        <v>12301.677142857143</v>
      </c>
    </row>
    <row r="1002" spans="1:15" x14ac:dyDescent="0.35">
      <c r="A1002" t="s">
        <v>1060</v>
      </c>
      <c r="B1002" s="1">
        <v>45456</v>
      </c>
      <c r="C1002" t="s">
        <v>20</v>
      </c>
      <c r="D1002" t="s">
        <v>21</v>
      </c>
      <c r="E1002" t="s">
        <v>34</v>
      </c>
      <c r="F1002" t="s">
        <v>35</v>
      </c>
      <c r="G1002" t="s">
        <v>66</v>
      </c>
      <c r="H1002">
        <v>6</v>
      </c>
      <c r="I1002">
        <v>2305.9699999999998</v>
      </c>
      <c r="J1002" s="2">
        <v>0</v>
      </c>
      <c r="K1002" t="s">
        <v>31</v>
      </c>
      <c r="L1002">
        <v>13835.82</v>
      </c>
      <c r="M1002" t="str">
        <f>TEXT(Table1[[#This Row],[OrderDate]], "mmm")</f>
        <v>Jun</v>
      </c>
      <c r="N1002" t="str">
        <f>IF(Table1[[#This Row],[TotalSales]]&gt;50000,"High",IF(L1002&gt;20000,"Medium","Low"))</f>
        <v>Low</v>
      </c>
      <c r="O1002">
        <f>Table1[[#This Row],[TotalSales]]/Table1[[#This Row],[Quantity]]</f>
        <v>2305.9699999999998</v>
      </c>
    </row>
    <row r="1003" spans="1:15" x14ac:dyDescent="0.35">
      <c r="A1003" t="s">
        <v>1061</v>
      </c>
      <c r="B1003" s="1">
        <v>45624</v>
      </c>
      <c r="C1003" t="s">
        <v>46</v>
      </c>
      <c r="D1003" t="s">
        <v>47</v>
      </c>
      <c r="E1003" t="s">
        <v>22</v>
      </c>
      <c r="F1003" t="s">
        <v>23</v>
      </c>
      <c r="G1003" t="s">
        <v>69</v>
      </c>
      <c r="H1003">
        <v>14</v>
      </c>
      <c r="I1003">
        <v>50112.47</v>
      </c>
      <c r="J1003" s="2">
        <v>0.1</v>
      </c>
      <c r="K1003" t="s">
        <v>25</v>
      </c>
      <c r="L1003">
        <v>631417.12</v>
      </c>
      <c r="M1003" t="str">
        <f>TEXT(Table1[[#This Row],[OrderDate]], "mmm")</f>
        <v>Nov</v>
      </c>
      <c r="N1003" t="str">
        <f>IF(Table1[[#This Row],[TotalSales]]&gt;50000,"High",IF(L1003&gt;20000,"Medium","Low"))</f>
        <v>High</v>
      </c>
      <c r="O1003">
        <f>Table1[[#This Row],[TotalSales]]/Table1[[#This Row],[Quantity]]</f>
        <v>45101.222857142857</v>
      </c>
    </row>
    <row r="1004" spans="1:15" x14ac:dyDescent="0.35">
      <c r="A1004" t="s">
        <v>1062</v>
      </c>
      <c r="B1004" s="1">
        <v>45370</v>
      </c>
      <c r="C1004" t="s">
        <v>40</v>
      </c>
      <c r="D1004" t="s">
        <v>41</v>
      </c>
      <c r="E1004" t="s">
        <v>28</v>
      </c>
      <c r="F1004" t="s">
        <v>29</v>
      </c>
      <c r="G1004" t="s">
        <v>66</v>
      </c>
      <c r="H1004">
        <v>8</v>
      </c>
      <c r="I1004">
        <v>29597.72</v>
      </c>
      <c r="J1004" s="2">
        <v>0</v>
      </c>
      <c r="K1004" t="s">
        <v>44</v>
      </c>
      <c r="L1004">
        <v>236781.76</v>
      </c>
      <c r="M1004" t="str">
        <f>TEXT(Table1[[#This Row],[OrderDate]], "mmm")</f>
        <v>Mar</v>
      </c>
      <c r="N1004" t="str">
        <f>IF(Table1[[#This Row],[TotalSales]]&gt;50000,"High",IF(L1004&gt;20000,"Medium","Low"))</f>
        <v>High</v>
      </c>
      <c r="O1004">
        <f>Table1[[#This Row],[TotalSales]]/Table1[[#This Row],[Quantity]]</f>
        <v>29597.72</v>
      </c>
    </row>
    <row r="1005" spans="1:15" x14ac:dyDescent="0.35">
      <c r="A1005" t="s">
        <v>1063</v>
      </c>
      <c r="B1005" s="1">
        <v>45445</v>
      </c>
      <c r="C1005" t="s">
        <v>46</v>
      </c>
      <c r="D1005" t="s">
        <v>79</v>
      </c>
      <c r="E1005" t="s">
        <v>22</v>
      </c>
      <c r="F1005" t="s">
        <v>52</v>
      </c>
      <c r="G1005" t="s">
        <v>83</v>
      </c>
      <c r="H1005">
        <v>3</v>
      </c>
      <c r="I1005">
        <v>2532.0100000000002</v>
      </c>
      <c r="J1005" s="2">
        <v>0.05</v>
      </c>
      <c r="K1005" t="s">
        <v>18</v>
      </c>
      <c r="L1005">
        <v>7216.23</v>
      </c>
      <c r="M1005" t="str">
        <f>TEXT(Table1[[#This Row],[OrderDate]], "mmm")</f>
        <v>Jun</v>
      </c>
      <c r="N1005" t="str">
        <f>IF(Table1[[#This Row],[TotalSales]]&gt;50000,"High",IF(L1005&gt;20000,"Medium","Low"))</f>
        <v>Low</v>
      </c>
      <c r="O1005">
        <f>Table1[[#This Row],[TotalSales]]/Table1[[#This Row],[Quantity]]</f>
        <v>2405.41</v>
      </c>
    </row>
    <row r="1006" spans="1:15" x14ac:dyDescent="0.35">
      <c r="A1006" t="s">
        <v>1064</v>
      </c>
      <c r="B1006" s="1">
        <v>45523</v>
      </c>
      <c r="C1006" t="s">
        <v>40</v>
      </c>
      <c r="D1006" t="s">
        <v>41</v>
      </c>
      <c r="E1006" t="s">
        <v>34</v>
      </c>
      <c r="F1006" t="s">
        <v>88</v>
      </c>
      <c r="G1006" t="s">
        <v>69</v>
      </c>
      <c r="H1006">
        <v>8</v>
      </c>
      <c r="I1006">
        <v>52390.1</v>
      </c>
      <c r="J1006" s="2">
        <v>0.05</v>
      </c>
      <c r="K1006" t="s">
        <v>18</v>
      </c>
      <c r="L1006">
        <v>398164.76</v>
      </c>
      <c r="M1006" t="str">
        <f>TEXT(Table1[[#This Row],[OrderDate]], "mmm")</f>
        <v>Aug</v>
      </c>
      <c r="N1006" t="str">
        <f>IF(Table1[[#This Row],[TotalSales]]&gt;50000,"High",IF(L1006&gt;20000,"Medium","Low"))</f>
        <v>High</v>
      </c>
      <c r="O1006">
        <f>Table1[[#This Row],[TotalSales]]/Table1[[#This Row],[Quantity]]</f>
        <v>49770.595000000001</v>
      </c>
    </row>
    <row r="1007" spans="1:15" x14ac:dyDescent="0.35">
      <c r="A1007" t="s">
        <v>1065</v>
      </c>
      <c r="B1007" s="1">
        <v>45629</v>
      </c>
      <c r="C1007" t="s">
        <v>20</v>
      </c>
      <c r="D1007" t="s">
        <v>21</v>
      </c>
      <c r="E1007" t="s">
        <v>22</v>
      </c>
      <c r="F1007" t="s">
        <v>42</v>
      </c>
      <c r="G1007" t="s">
        <v>69</v>
      </c>
      <c r="H1007">
        <v>13</v>
      </c>
      <c r="I1007">
        <v>34114.42</v>
      </c>
      <c r="J1007" s="2">
        <v>0.05</v>
      </c>
      <c r="K1007" t="s">
        <v>25</v>
      </c>
      <c r="L1007">
        <v>421313.09</v>
      </c>
      <c r="M1007" t="str">
        <f>TEXT(Table1[[#This Row],[OrderDate]], "mmm")</f>
        <v>Dec</v>
      </c>
      <c r="N1007" t="str">
        <f>IF(Table1[[#This Row],[TotalSales]]&gt;50000,"High",IF(L1007&gt;20000,"Medium","Low"))</f>
        <v>High</v>
      </c>
      <c r="O1007">
        <f>Table1[[#This Row],[TotalSales]]/Table1[[#This Row],[Quantity]]</f>
        <v>32408.699230769234</v>
      </c>
    </row>
    <row r="1008" spans="1:15" x14ac:dyDescent="0.35">
      <c r="A1008" t="s">
        <v>1066</v>
      </c>
      <c r="B1008" s="1">
        <v>45625</v>
      </c>
      <c r="C1008" t="s">
        <v>46</v>
      </c>
      <c r="D1008" t="s">
        <v>71</v>
      </c>
      <c r="E1008" t="s">
        <v>22</v>
      </c>
      <c r="F1008" t="s">
        <v>82</v>
      </c>
      <c r="G1008" t="s">
        <v>83</v>
      </c>
      <c r="H1008">
        <v>8</v>
      </c>
      <c r="I1008">
        <v>16657.55</v>
      </c>
      <c r="J1008" s="2">
        <v>0.2</v>
      </c>
      <c r="K1008" t="s">
        <v>18</v>
      </c>
      <c r="L1008">
        <v>106608.32000000001</v>
      </c>
      <c r="M1008" t="str">
        <f>TEXT(Table1[[#This Row],[OrderDate]], "mmm")</f>
        <v>Nov</v>
      </c>
      <c r="N1008" t="str">
        <f>IF(Table1[[#This Row],[TotalSales]]&gt;50000,"High",IF(L1008&gt;20000,"Medium","Low"))</f>
        <v>High</v>
      </c>
      <c r="O1008">
        <f>Table1[[#This Row],[TotalSales]]/Table1[[#This Row],[Quantity]]</f>
        <v>13326.04</v>
      </c>
    </row>
    <row r="1009" spans="1:15" x14ac:dyDescent="0.35">
      <c r="A1009" t="s">
        <v>1067</v>
      </c>
      <c r="B1009" s="1">
        <v>45304</v>
      </c>
      <c r="C1009" t="s">
        <v>20</v>
      </c>
      <c r="D1009" t="s">
        <v>97</v>
      </c>
      <c r="E1009" t="s">
        <v>34</v>
      </c>
      <c r="F1009" t="s">
        <v>88</v>
      </c>
      <c r="G1009" t="s">
        <v>24</v>
      </c>
      <c r="H1009">
        <v>12</v>
      </c>
      <c r="I1009">
        <v>11513.64</v>
      </c>
      <c r="J1009" s="2">
        <v>0.1</v>
      </c>
      <c r="K1009" t="s">
        <v>25</v>
      </c>
      <c r="L1009">
        <v>124347.31</v>
      </c>
      <c r="M1009" t="str">
        <f>TEXT(Table1[[#This Row],[OrderDate]], "mmm")</f>
        <v>Jan</v>
      </c>
      <c r="N1009" t="str">
        <f>IF(Table1[[#This Row],[TotalSales]]&gt;50000,"High",IF(L1009&gt;20000,"Medium","Low"))</f>
        <v>High</v>
      </c>
      <c r="O1009">
        <f>Table1[[#This Row],[TotalSales]]/Table1[[#This Row],[Quantity]]</f>
        <v>10362.275833333333</v>
      </c>
    </row>
    <row r="1010" spans="1:15" x14ac:dyDescent="0.35">
      <c r="A1010" t="s">
        <v>1068</v>
      </c>
      <c r="B1010" s="1">
        <v>45531</v>
      </c>
      <c r="C1010" t="s">
        <v>40</v>
      </c>
      <c r="D1010" t="s">
        <v>41</v>
      </c>
      <c r="E1010" t="s">
        <v>22</v>
      </c>
      <c r="F1010" t="s">
        <v>42</v>
      </c>
      <c r="G1010" t="s">
        <v>43</v>
      </c>
      <c r="H1010">
        <v>4</v>
      </c>
      <c r="I1010">
        <v>47768.05</v>
      </c>
      <c r="J1010" s="2">
        <v>0</v>
      </c>
      <c r="K1010" t="s">
        <v>31</v>
      </c>
      <c r="L1010">
        <v>191072.2</v>
      </c>
      <c r="M1010" t="str">
        <f>TEXT(Table1[[#This Row],[OrderDate]], "mmm")</f>
        <v>Aug</v>
      </c>
      <c r="N1010" t="str">
        <f>IF(Table1[[#This Row],[TotalSales]]&gt;50000,"High",IF(L1010&gt;20000,"Medium","Low"))</f>
        <v>High</v>
      </c>
      <c r="O1010">
        <f>Table1[[#This Row],[TotalSales]]/Table1[[#This Row],[Quantity]]</f>
        <v>47768.05</v>
      </c>
    </row>
    <row r="1011" spans="1:15" x14ac:dyDescent="0.35">
      <c r="A1011" t="s">
        <v>1069</v>
      </c>
      <c r="B1011" s="1">
        <v>45319</v>
      </c>
      <c r="C1011" t="s">
        <v>46</v>
      </c>
      <c r="D1011" t="s">
        <v>47</v>
      </c>
      <c r="E1011" t="s">
        <v>15</v>
      </c>
      <c r="F1011" t="s">
        <v>16</v>
      </c>
      <c r="G1011" t="s">
        <v>49</v>
      </c>
      <c r="H1011">
        <v>6</v>
      </c>
      <c r="I1011">
        <v>46922.53</v>
      </c>
      <c r="J1011" s="2">
        <v>0</v>
      </c>
      <c r="K1011" t="s">
        <v>31</v>
      </c>
      <c r="L1011">
        <v>281535.18</v>
      </c>
      <c r="M1011" t="str">
        <f>TEXT(Table1[[#This Row],[OrderDate]], "mmm")</f>
        <v>Jan</v>
      </c>
      <c r="N1011" t="str">
        <f>IF(Table1[[#This Row],[TotalSales]]&gt;50000,"High",IF(L1011&gt;20000,"Medium","Low"))</f>
        <v>High</v>
      </c>
      <c r="O1011">
        <f>Table1[[#This Row],[TotalSales]]/Table1[[#This Row],[Quantity]]</f>
        <v>46922.53</v>
      </c>
    </row>
    <row r="1012" spans="1:15" x14ac:dyDescent="0.35">
      <c r="A1012" t="s">
        <v>1070</v>
      </c>
      <c r="B1012" s="1">
        <v>45465</v>
      </c>
      <c r="C1012" t="s">
        <v>40</v>
      </c>
      <c r="D1012" t="s">
        <v>41</v>
      </c>
      <c r="E1012" t="s">
        <v>28</v>
      </c>
      <c r="F1012" t="s">
        <v>29</v>
      </c>
      <c r="G1012" t="s">
        <v>66</v>
      </c>
      <c r="H1012">
        <v>12</v>
      </c>
      <c r="I1012">
        <v>9801.9500000000007</v>
      </c>
      <c r="J1012" s="2">
        <v>0</v>
      </c>
      <c r="K1012" t="s">
        <v>31</v>
      </c>
      <c r="L1012">
        <v>117623.4</v>
      </c>
      <c r="M1012" t="str">
        <f>TEXT(Table1[[#This Row],[OrderDate]], "mmm")</f>
        <v>Jun</v>
      </c>
      <c r="N1012" t="str">
        <f>IF(Table1[[#This Row],[TotalSales]]&gt;50000,"High",IF(L1012&gt;20000,"Medium","Low"))</f>
        <v>High</v>
      </c>
      <c r="O1012">
        <f>Table1[[#This Row],[TotalSales]]/Table1[[#This Row],[Quantity]]</f>
        <v>9801.9499999999989</v>
      </c>
    </row>
    <row r="1013" spans="1:15" x14ac:dyDescent="0.35">
      <c r="A1013" t="s">
        <v>1071</v>
      </c>
      <c r="B1013" s="1">
        <v>45435</v>
      </c>
      <c r="C1013" t="s">
        <v>40</v>
      </c>
      <c r="D1013" t="s">
        <v>51</v>
      </c>
      <c r="E1013" t="s">
        <v>34</v>
      </c>
      <c r="F1013" t="s">
        <v>61</v>
      </c>
      <c r="G1013" t="s">
        <v>43</v>
      </c>
      <c r="H1013">
        <v>12</v>
      </c>
      <c r="I1013">
        <v>46670.11</v>
      </c>
      <c r="J1013" s="2">
        <v>0</v>
      </c>
      <c r="K1013" t="s">
        <v>18</v>
      </c>
      <c r="L1013">
        <v>560041.31999999995</v>
      </c>
      <c r="M1013" t="str">
        <f>TEXT(Table1[[#This Row],[OrderDate]], "mmm")</f>
        <v>May</v>
      </c>
      <c r="N1013" t="str">
        <f>IF(Table1[[#This Row],[TotalSales]]&gt;50000,"High",IF(L1013&gt;20000,"Medium","Low"))</f>
        <v>High</v>
      </c>
      <c r="O1013">
        <f>Table1[[#This Row],[TotalSales]]/Table1[[#This Row],[Quantity]]</f>
        <v>46670.109999999993</v>
      </c>
    </row>
    <row r="1014" spans="1:15" x14ac:dyDescent="0.35">
      <c r="A1014" t="s">
        <v>1072</v>
      </c>
      <c r="B1014" s="1">
        <v>45379</v>
      </c>
      <c r="C1014" t="s">
        <v>40</v>
      </c>
      <c r="D1014" t="s">
        <v>41</v>
      </c>
      <c r="E1014" t="s">
        <v>34</v>
      </c>
      <c r="F1014" t="s">
        <v>88</v>
      </c>
      <c r="G1014" t="s">
        <v>30</v>
      </c>
      <c r="H1014">
        <v>13</v>
      </c>
      <c r="I1014">
        <v>1293.49</v>
      </c>
      <c r="J1014" s="2">
        <v>0.15</v>
      </c>
      <c r="K1014" t="s">
        <v>31</v>
      </c>
      <c r="L1014">
        <v>14293.06</v>
      </c>
      <c r="M1014" t="str">
        <f>TEXT(Table1[[#This Row],[OrderDate]], "mmm")</f>
        <v>Mar</v>
      </c>
      <c r="N1014" t="str">
        <f>IF(Table1[[#This Row],[TotalSales]]&gt;50000,"High",IF(L1014&gt;20000,"Medium","Low"))</f>
        <v>Low</v>
      </c>
      <c r="O1014">
        <f>Table1[[#This Row],[TotalSales]]/Table1[[#This Row],[Quantity]]</f>
        <v>1099.4661538461537</v>
      </c>
    </row>
    <row r="1015" spans="1:15" x14ac:dyDescent="0.35">
      <c r="A1015" t="s">
        <v>1073</v>
      </c>
      <c r="B1015" s="1">
        <v>45481</v>
      </c>
      <c r="C1015" t="s">
        <v>13</v>
      </c>
      <c r="D1015" t="s">
        <v>14</v>
      </c>
      <c r="E1015" t="s">
        <v>34</v>
      </c>
      <c r="F1015" t="s">
        <v>48</v>
      </c>
      <c r="G1015" t="s">
        <v>69</v>
      </c>
      <c r="H1015">
        <v>2</v>
      </c>
      <c r="I1015">
        <v>9912.5</v>
      </c>
      <c r="J1015" s="2">
        <v>0.1</v>
      </c>
      <c r="K1015" t="s">
        <v>44</v>
      </c>
      <c r="L1015">
        <v>17842.5</v>
      </c>
      <c r="M1015" t="str">
        <f>TEXT(Table1[[#This Row],[OrderDate]], "mmm")</f>
        <v>Jul</v>
      </c>
      <c r="N1015" t="str">
        <f>IF(Table1[[#This Row],[TotalSales]]&gt;50000,"High",IF(L1015&gt;20000,"Medium","Low"))</f>
        <v>Low</v>
      </c>
      <c r="O1015">
        <f>Table1[[#This Row],[TotalSales]]/Table1[[#This Row],[Quantity]]</f>
        <v>8921.25</v>
      </c>
    </row>
    <row r="1016" spans="1:15" x14ac:dyDescent="0.35">
      <c r="A1016" t="s">
        <v>1074</v>
      </c>
      <c r="B1016" s="1">
        <v>45545</v>
      </c>
      <c r="C1016" t="s">
        <v>13</v>
      </c>
      <c r="D1016" t="s">
        <v>33</v>
      </c>
      <c r="E1016" t="s">
        <v>28</v>
      </c>
      <c r="F1016" t="s">
        <v>76</v>
      </c>
      <c r="G1016" t="s">
        <v>49</v>
      </c>
      <c r="H1016">
        <v>1</v>
      </c>
      <c r="I1016">
        <v>34278.050000000003</v>
      </c>
      <c r="J1016" s="2">
        <v>0.1</v>
      </c>
      <c r="K1016" t="s">
        <v>31</v>
      </c>
      <c r="L1016">
        <v>30850.25</v>
      </c>
      <c r="M1016" t="str">
        <f>TEXT(Table1[[#This Row],[OrderDate]], "mmm")</f>
        <v>Sep</v>
      </c>
      <c r="N1016" t="str">
        <f>IF(Table1[[#This Row],[TotalSales]]&gt;50000,"High",IF(L1016&gt;20000,"Medium","Low"))</f>
        <v>Medium</v>
      </c>
      <c r="O1016">
        <f>Table1[[#This Row],[TotalSales]]/Table1[[#This Row],[Quantity]]</f>
        <v>30850.25</v>
      </c>
    </row>
    <row r="1017" spans="1:15" x14ac:dyDescent="0.35">
      <c r="A1017" t="s">
        <v>1075</v>
      </c>
      <c r="B1017" s="1">
        <v>45624</v>
      </c>
      <c r="C1017" t="s">
        <v>20</v>
      </c>
      <c r="D1017" t="s">
        <v>27</v>
      </c>
      <c r="E1017" t="s">
        <v>34</v>
      </c>
      <c r="F1017" t="s">
        <v>48</v>
      </c>
      <c r="G1017" t="s">
        <v>30</v>
      </c>
      <c r="H1017">
        <v>4</v>
      </c>
      <c r="I1017">
        <v>38588.22</v>
      </c>
      <c r="J1017" s="2">
        <v>0</v>
      </c>
      <c r="K1017" t="s">
        <v>31</v>
      </c>
      <c r="L1017">
        <v>154352.88</v>
      </c>
      <c r="M1017" t="str">
        <f>TEXT(Table1[[#This Row],[OrderDate]], "mmm")</f>
        <v>Nov</v>
      </c>
      <c r="N1017" t="str">
        <f>IF(Table1[[#This Row],[TotalSales]]&gt;50000,"High",IF(L1017&gt;20000,"Medium","Low"))</f>
        <v>High</v>
      </c>
      <c r="O1017">
        <f>Table1[[#This Row],[TotalSales]]/Table1[[#This Row],[Quantity]]</f>
        <v>38588.22</v>
      </c>
    </row>
    <row r="1018" spans="1:15" x14ac:dyDescent="0.35">
      <c r="A1018" t="s">
        <v>1076</v>
      </c>
      <c r="B1018" s="1">
        <v>45297</v>
      </c>
      <c r="C1018" t="s">
        <v>20</v>
      </c>
      <c r="D1018" t="s">
        <v>21</v>
      </c>
      <c r="E1018" t="s">
        <v>28</v>
      </c>
      <c r="F1018" t="s">
        <v>76</v>
      </c>
      <c r="G1018" t="s">
        <v>49</v>
      </c>
      <c r="H1018">
        <v>12</v>
      </c>
      <c r="I1018">
        <v>31636.16</v>
      </c>
      <c r="J1018" s="2">
        <v>0</v>
      </c>
      <c r="K1018" t="s">
        <v>25</v>
      </c>
      <c r="L1018">
        <v>379633.91999999998</v>
      </c>
      <c r="M1018" t="str">
        <f>TEXT(Table1[[#This Row],[OrderDate]], "mmm")</f>
        <v>Jan</v>
      </c>
      <c r="N1018" t="str">
        <f>IF(Table1[[#This Row],[TotalSales]]&gt;50000,"High",IF(L1018&gt;20000,"Medium","Low"))</f>
        <v>High</v>
      </c>
      <c r="O1018">
        <f>Table1[[#This Row],[TotalSales]]/Table1[[#This Row],[Quantity]]</f>
        <v>31636.16</v>
      </c>
    </row>
    <row r="1019" spans="1:15" x14ac:dyDescent="0.35">
      <c r="A1019" t="s">
        <v>1077</v>
      </c>
      <c r="B1019" s="1">
        <v>45654</v>
      </c>
      <c r="C1019" t="s">
        <v>40</v>
      </c>
      <c r="D1019" t="s">
        <v>41</v>
      </c>
      <c r="E1019" t="s">
        <v>28</v>
      </c>
      <c r="F1019" t="s">
        <v>29</v>
      </c>
      <c r="G1019" t="s">
        <v>30</v>
      </c>
      <c r="H1019">
        <v>6</v>
      </c>
      <c r="I1019">
        <v>7452.24</v>
      </c>
      <c r="J1019" s="2">
        <v>0</v>
      </c>
      <c r="K1019" t="s">
        <v>31</v>
      </c>
      <c r="L1019">
        <v>44713.440000000002</v>
      </c>
      <c r="M1019" t="str">
        <f>TEXT(Table1[[#This Row],[OrderDate]], "mmm")</f>
        <v>Dec</v>
      </c>
      <c r="N1019" t="str">
        <f>IF(Table1[[#This Row],[TotalSales]]&gt;50000,"High",IF(L1019&gt;20000,"Medium","Low"))</f>
        <v>Medium</v>
      </c>
      <c r="O1019">
        <f>Table1[[#This Row],[TotalSales]]/Table1[[#This Row],[Quantity]]</f>
        <v>7452.2400000000007</v>
      </c>
    </row>
    <row r="1020" spans="1:15" x14ac:dyDescent="0.35">
      <c r="A1020" t="s">
        <v>1078</v>
      </c>
      <c r="B1020" s="1">
        <v>45346</v>
      </c>
      <c r="C1020" t="s">
        <v>46</v>
      </c>
      <c r="D1020" t="s">
        <v>47</v>
      </c>
      <c r="E1020" t="s">
        <v>28</v>
      </c>
      <c r="F1020" t="s">
        <v>76</v>
      </c>
      <c r="G1020" t="s">
        <v>17</v>
      </c>
      <c r="H1020">
        <v>4</v>
      </c>
      <c r="I1020">
        <v>4277.92</v>
      </c>
      <c r="J1020" s="2">
        <v>0</v>
      </c>
      <c r="K1020" t="s">
        <v>31</v>
      </c>
      <c r="L1020">
        <v>17111.68</v>
      </c>
      <c r="M1020" t="str">
        <f>TEXT(Table1[[#This Row],[OrderDate]], "mmm")</f>
        <v>Feb</v>
      </c>
      <c r="N1020" t="str">
        <f>IF(Table1[[#This Row],[TotalSales]]&gt;50000,"High",IF(L1020&gt;20000,"Medium","Low"))</f>
        <v>Low</v>
      </c>
      <c r="O1020">
        <f>Table1[[#This Row],[TotalSales]]/Table1[[#This Row],[Quantity]]</f>
        <v>4277.92</v>
      </c>
    </row>
    <row r="1021" spans="1:15" x14ac:dyDescent="0.35">
      <c r="A1021" t="s">
        <v>1079</v>
      </c>
      <c r="B1021" s="1">
        <v>45590</v>
      </c>
      <c r="C1021" t="s">
        <v>46</v>
      </c>
      <c r="D1021" t="s">
        <v>47</v>
      </c>
      <c r="E1021" t="s">
        <v>15</v>
      </c>
      <c r="F1021" t="s">
        <v>56</v>
      </c>
      <c r="G1021" t="s">
        <v>43</v>
      </c>
      <c r="H1021">
        <v>11</v>
      </c>
      <c r="I1021">
        <v>53117.31</v>
      </c>
      <c r="J1021" s="2">
        <v>0.05</v>
      </c>
      <c r="K1021" t="s">
        <v>18</v>
      </c>
      <c r="L1021">
        <v>555075.89</v>
      </c>
      <c r="M1021" t="str">
        <f>TEXT(Table1[[#This Row],[OrderDate]], "mmm")</f>
        <v>Oct</v>
      </c>
      <c r="N1021" t="str">
        <f>IF(Table1[[#This Row],[TotalSales]]&gt;50000,"High",IF(L1021&gt;20000,"Medium","Low"))</f>
        <v>High</v>
      </c>
      <c r="O1021">
        <f>Table1[[#This Row],[TotalSales]]/Table1[[#This Row],[Quantity]]</f>
        <v>50461.444545454549</v>
      </c>
    </row>
    <row r="1022" spans="1:15" x14ac:dyDescent="0.35">
      <c r="A1022" t="s">
        <v>1080</v>
      </c>
      <c r="B1022" s="1">
        <v>45338</v>
      </c>
      <c r="C1022" t="s">
        <v>20</v>
      </c>
      <c r="D1022" t="s">
        <v>27</v>
      </c>
      <c r="E1022" t="s">
        <v>22</v>
      </c>
      <c r="F1022" t="s">
        <v>23</v>
      </c>
      <c r="G1022" t="s">
        <v>69</v>
      </c>
      <c r="H1022">
        <v>1</v>
      </c>
      <c r="I1022">
        <v>23926.720000000001</v>
      </c>
      <c r="J1022" s="2">
        <v>0.15</v>
      </c>
      <c r="K1022" t="s">
        <v>25</v>
      </c>
      <c r="L1022">
        <v>20337.71</v>
      </c>
      <c r="M1022" t="str">
        <f>TEXT(Table1[[#This Row],[OrderDate]], "mmm")</f>
        <v>Feb</v>
      </c>
      <c r="N1022" t="str">
        <f>IF(Table1[[#This Row],[TotalSales]]&gt;50000,"High",IF(L1022&gt;20000,"Medium","Low"))</f>
        <v>Medium</v>
      </c>
      <c r="O1022">
        <f>Table1[[#This Row],[TotalSales]]/Table1[[#This Row],[Quantity]]</f>
        <v>20337.71</v>
      </c>
    </row>
    <row r="1023" spans="1:15" x14ac:dyDescent="0.35">
      <c r="A1023" t="s">
        <v>1081</v>
      </c>
      <c r="B1023" s="1">
        <v>45439</v>
      </c>
      <c r="C1023" t="s">
        <v>20</v>
      </c>
      <c r="D1023" t="s">
        <v>97</v>
      </c>
      <c r="E1023" t="s">
        <v>22</v>
      </c>
      <c r="F1023" t="s">
        <v>82</v>
      </c>
      <c r="G1023" t="s">
        <v>69</v>
      </c>
      <c r="H1023">
        <v>12</v>
      </c>
      <c r="I1023">
        <v>37253.53</v>
      </c>
      <c r="J1023" s="2">
        <v>0.2</v>
      </c>
      <c r="K1023" t="s">
        <v>44</v>
      </c>
      <c r="L1023">
        <v>357633.89</v>
      </c>
      <c r="M1023" t="str">
        <f>TEXT(Table1[[#This Row],[OrderDate]], "mmm")</f>
        <v>May</v>
      </c>
      <c r="N1023" t="str">
        <f>IF(Table1[[#This Row],[TotalSales]]&gt;50000,"High",IF(L1023&gt;20000,"Medium","Low"))</f>
        <v>High</v>
      </c>
      <c r="O1023">
        <f>Table1[[#This Row],[TotalSales]]/Table1[[#This Row],[Quantity]]</f>
        <v>29802.824166666669</v>
      </c>
    </row>
    <row r="1024" spans="1:15" x14ac:dyDescent="0.35">
      <c r="A1024" t="s">
        <v>1082</v>
      </c>
      <c r="B1024" s="1">
        <v>45330</v>
      </c>
      <c r="C1024" t="s">
        <v>46</v>
      </c>
      <c r="D1024" t="s">
        <v>71</v>
      </c>
      <c r="E1024" t="s">
        <v>22</v>
      </c>
      <c r="F1024" t="s">
        <v>42</v>
      </c>
      <c r="G1024" t="s">
        <v>49</v>
      </c>
      <c r="H1024">
        <v>4</v>
      </c>
      <c r="I1024">
        <v>10450.23</v>
      </c>
      <c r="J1024" s="2">
        <v>0</v>
      </c>
      <c r="K1024" t="s">
        <v>25</v>
      </c>
      <c r="L1024">
        <v>41800.92</v>
      </c>
      <c r="M1024" t="str">
        <f>TEXT(Table1[[#This Row],[OrderDate]], "mmm")</f>
        <v>Feb</v>
      </c>
      <c r="N1024" t="str">
        <f>IF(Table1[[#This Row],[TotalSales]]&gt;50000,"High",IF(L1024&gt;20000,"Medium","Low"))</f>
        <v>Medium</v>
      </c>
      <c r="O1024">
        <f>Table1[[#This Row],[TotalSales]]/Table1[[#This Row],[Quantity]]</f>
        <v>10450.23</v>
      </c>
    </row>
    <row r="1025" spans="1:15" x14ac:dyDescent="0.35">
      <c r="A1025" t="s">
        <v>1083</v>
      </c>
      <c r="B1025" s="1">
        <v>45468</v>
      </c>
      <c r="C1025" t="s">
        <v>40</v>
      </c>
      <c r="D1025" t="s">
        <v>41</v>
      </c>
      <c r="E1025" t="s">
        <v>28</v>
      </c>
      <c r="F1025" t="s">
        <v>125</v>
      </c>
      <c r="G1025" t="s">
        <v>17</v>
      </c>
      <c r="H1025">
        <v>12</v>
      </c>
      <c r="I1025">
        <v>13394.23</v>
      </c>
      <c r="J1025" s="2">
        <v>0</v>
      </c>
      <c r="K1025" t="s">
        <v>31</v>
      </c>
      <c r="L1025">
        <v>160730.76</v>
      </c>
      <c r="M1025" t="str">
        <f>TEXT(Table1[[#This Row],[OrderDate]], "mmm")</f>
        <v>Jun</v>
      </c>
      <c r="N1025" t="str">
        <f>IF(Table1[[#This Row],[TotalSales]]&gt;50000,"High",IF(L1025&gt;20000,"Medium","Low"))</f>
        <v>High</v>
      </c>
      <c r="O1025">
        <f>Table1[[#This Row],[TotalSales]]/Table1[[#This Row],[Quantity]]</f>
        <v>13394.230000000001</v>
      </c>
    </row>
    <row r="1026" spans="1:15" x14ac:dyDescent="0.35">
      <c r="A1026" t="s">
        <v>1084</v>
      </c>
      <c r="B1026" s="1">
        <v>45322</v>
      </c>
      <c r="C1026" t="s">
        <v>13</v>
      </c>
      <c r="D1026" t="s">
        <v>33</v>
      </c>
      <c r="E1026" t="s">
        <v>15</v>
      </c>
      <c r="F1026" t="s">
        <v>38</v>
      </c>
      <c r="G1026" t="s">
        <v>17</v>
      </c>
      <c r="H1026">
        <v>10</v>
      </c>
      <c r="I1026">
        <v>41609.629999999997</v>
      </c>
      <c r="J1026" s="2">
        <v>0.05</v>
      </c>
      <c r="K1026" t="s">
        <v>44</v>
      </c>
      <c r="L1026">
        <f>(Table1[[#This Row],[Quantity]]*Table1[[#This Row],[UnitPrice]])-(Table1[[#This Row],[Quantity]]*Table1[[#This Row],[UnitPrice]])*Table1[[#This Row],[Discount%]]</f>
        <v>395291.48499999999</v>
      </c>
      <c r="M1026" t="str">
        <f>TEXT(Table1[[#This Row],[OrderDate]], "mmm")</f>
        <v>Jan</v>
      </c>
      <c r="N1026" t="str">
        <f>IF(Table1[[#This Row],[TotalSales]]&gt;50000,"High",IF(L1026&gt;20000,"Medium","Low"))</f>
        <v>High</v>
      </c>
      <c r="O1026">
        <f>Table1[[#This Row],[TotalSales]]/Table1[[#This Row],[Quantity]]</f>
        <v>39529.148499999996</v>
      </c>
    </row>
    <row r="1027" spans="1:15" x14ac:dyDescent="0.35">
      <c r="A1027" t="s">
        <v>1085</v>
      </c>
      <c r="B1027" s="1">
        <v>45455</v>
      </c>
      <c r="C1027" t="s">
        <v>13</v>
      </c>
      <c r="D1027" t="s">
        <v>33</v>
      </c>
      <c r="E1027" t="s">
        <v>28</v>
      </c>
      <c r="F1027" t="s">
        <v>76</v>
      </c>
      <c r="G1027" t="s">
        <v>69</v>
      </c>
      <c r="H1027">
        <v>8</v>
      </c>
      <c r="I1027">
        <v>19824.57</v>
      </c>
      <c r="J1027" s="2">
        <v>0.2</v>
      </c>
      <c r="K1027" t="s">
        <v>18</v>
      </c>
      <c r="L1027">
        <v>126877.25</v>
      </c>
      <c r="M1027" t="str">
        <f>TEXT(Table1[[#This Row],[OrderDate]], "mmm")</f>
        <v>Jun</v>
      </c>
      <c r="N1027" t="str">
        <f>IF(Table1[[#This Row],[TotalSales]]&gt;50000,"High",IF(L1027&gt;20000,"Medium","Low"))</f>
        <v>High</v>
      </c>
      <c r="O1027">
        <f>Table1[[#This Row],[TotalSales]]/Table1[[#This Row],[Quantity]]</f>
        <v>15859.65625</v>
      </c>
    </row>
    <row r="1028" spans="1:15" x14ac:dyDescent="0.35">
      <c r="A1028" t="s">
        <v>1086</v>
      </c>
      <c r="B1028" s="1">
        <v>45530</v>
      </c>
      <c r="C1028" t="s">
        <v>13</v>
      </c>
      <c r="D1028" t="s">
        <v>37</v>
      </c>
      <c r="E1028" t="s">
        <v>22</v>
      </c>
      <c r="F1028" t="s">
        <v>23</v>
      </c>
      <c r="G1028" t="s">
        <v>30</v>
      </c>
      <c r="H1028">
        <v>15</v>
      </c>
      <c r="I1028">
        <v>25497.88</v>
      </c>
      <c r="J1028" s="2">
        <v>0.2</v>
      </c>
      <c r="K1028" t="s">
        <v>18</v>
      </c>
      <c r="L1028">
        <v>305974.56</v>
      </c>
      <c r="M1028" t="str">
        <f>TEXT(Table1[[#This Row],[OrderDate]], "mmm")</f>
        <v>Aug</v>
      </c>
      <c r="N1028" t="str">
        <f>IF(Table1[[#This Row],[TotalSales]]&gt;50000,"High",IF(L1028&gt;20000,"Medium","Low"))</f>
        <v>High</v>
      </c>
      <c r="O1028">
        <f>Table1[[#This Row],[TotalSales]]/Table1[[#This Row],[Quantity]]</f>
        <v>20398.304</v>
      </c>
    </row>
    <row r="1029" spans="1:15" x14ac:dyDescent="0.35">
      <c r="A1029" t="s">
        <v>1087</v>
      </c>
      <c r="B1029" s="1">
        <v>45363</v>
      </c>
      <c r="C1029" t="s">
        <v>40</v>
      </c>
      <c r="D1029" t="s">
        <v>55</v>
      </c>
      <c r="E1029" t="s">
        <v>22</v>
      </c>
      <c r="F1029" t="s">
        <v>82</v>
      </c>
      <c r="G1029" t="s">
        <v>24</v>
      </c>
      <c r="H1029">
        <v>13</v>
      </c>
      <c r="I1029">
        <v>17556.45</v>
      </c>
      <c r="J1029" s="2">
        <v>0.2</v>
      </c>
      <c r="K1029" t="s">
        <v>18</v>
      </c>
      <c r="L1029">
        <v>182587.08</v>
      </c>
      <c r="M1029" t="str">
        <f>TEXT(Table1[[#This Row],[OrderDate]], "mmm")</f>
        <v>Mar</v>
      </c>
      <c r="N1029" t="str">
        <f>IF(Table1[[#This Row],[TotalSales]]&gt;50000,"High",IF(L1029&gt;20000,"Medium","Low"))</f>
        <v>High</v>
      </c>
      <c r="O1029">
        <f>Table1[[#This Row],[TotalSales]]/Table1[[#This Row],[Quantity]]</f>
        <v>14045.16</v>
      </c>
    </row>
    <row r="1030" spans="1:15" x14ac:dyDescent="0.35">
      <c r="A1030" t="s">
        <v>1088</v>
      </c>
      <c r="B1030" s="1">
        <v>45492</v>
      </c>
      <c r="C1030" t="s">
        <v>46</v>
      </c>
      <c r="D1030" t="s">
        <v>47</v>
      </c>
      <c r="E1030" t="s">
        <v>22</v>
      </c>
      <c r="F1030" t="s">
        <v>42</v>
      </c>
      <c r="G1030" t="s">
        <v>49</v>
      </c>
      <c r="H1030">
        <v>8</v>
      </c>
      <c r="I1030">
        <v>8414.51</v>
      </c>
      <c r="J1030" s="2">
        <v>0</v>
      </c>
      <c r="K1030" t="s">
        <v>18</v>
      </c>
      <c r="L1030">
        <v>67316.08</v>
      </c>
      <c r="M1030" t="str">
        <f>TEXT(Table1[[#This Row],[OrderDate]], "mmm")</f>
        <v>Jul</v>
      </c>
      <c r="N1030" t="str">
        <f>IF(Table1[[#This Row],[TotalSales]]&gt;50000,"High",IF(L1030&gt;20000,"Medium","Low"))</f>
        <v>High</v>
      </c>
      <c r="O1030">
        <f>Table1[[#This Row],[TotalSales]]/Table1[[#This Row],[Quantity]]</f>
        <v>8414.51</v>
      </c>
    </row>
    <row r="1031" spans="1:15" x14ac:dyDescent="0.35">
      <c r="A1031" t="s">
        <v>1089</v>
      </c>
      <c r="B1031" s="1">
        <v>45514</v>
      </c>
      <c r="C1031" t="s">
        <v>40</v>
      </c>
      <c r="D1031" t="s">
        <v>41</v>
      </c>
      <c r="E1031" t="s">
        <v>22</v>
      </c>
      <c r="F1031" t="s">
        <v>82</v>
      </c>
      <c r="G1031" t="s">
        <v>30</v>
      </c>
      <c r="H1031">
        <v>14</v>
      </c>
      <c r="I1031">
        <v>8958.17</v>
      </c>
      <c r="J1031" s="2">
        <v>0.15</v>
      </c>
      <c r="K1031" t="s">
        <v>44</v>
      </c>
      <c r="L1031">
        <v>106602.22</v>
      </c>
      <c r="M1031" t="str">
        <f>TEXT(Table1[[#This Row],[OrderDate]], "mmm")</f>
        <v>Aug</v>
      </c>
      <c r="N1031" t="str">
        <f>IF(Table1[[#This Row],[TotalSales]]&gt;50000,"High",IF(L1031&gt;20000,"Medium","Low"))</f>
        <v>High</v>
      </c>
      <c r="O1031">
        <f>Table1[[#This Row],[TotalSales]]/Table1[[#This Row],[Quantity]]</f>
        <v>7614.4442857142858</v>
      </c>
    </row>
    <row r="1032" spans="1:15" x14ac:dyDescent="0.35">
      <c r="A1032" t="s">
        <v>1090</v>
      </c>
      <c r="B1032" s="1">
        <v>45505</v>
      </c>
      <c r="C1032" t="s">
        <v>40</v>
      </c>
      <c r="D1032" t="s">
        <v>55</v>
      </c>
      <c r="E1032" t="s">
        <v>22</v>
      </c>
      <c r="F1032" t="s">
        <v>42</v>
      </c>
      <c r="G1032" t="s">
        <v>17</v>
      </c>
      <c r="H1032">
        <v>8</v>
      </c>
      <c r="I1032">
        <v>910.62</v>
      </c>
      <c r="J1032" s="2">
        <v>0</v>
      </c>
      <c r="K1032" t="s">
        <v>18</v>
      </c>
      <c r="L1032">
        <v>7284.96</v>
      </c>
      <c r="M1032" t="str">
        <f>TEXT(Table1[[#This Row],[OrderDate]], "mmm")</f>
        <v>Aug</v>
      </c>
      <c r="N1032" t="str">
        <f>IF(Table1[[#This Row],[TotalSales]]&gt;50000,"High",IF(L1032&gt;20000,"Medium","Low"))</f>
        <v>Low</v>
      </c>
      <c r="O1032">
        <f>Table1[[#This Row],[TotalSales]]/Table1[[#This Row],[Quantity]]</f>
        <v>910.62</v>
      </c>
    </row>
    <row r="1033" spans="1:15" x14ac:dyDescent="0.35">
      <c r="A1033" t="s">
        <v>1091</v>
      </c>
      <c r="B1033" s="1">
        <v>45357</v>
      </c>
      <c r="C1033" t="s">
        <v>13</v>
      </c>
      <c r="D1033" t="s">
        <v>33</v>
      </c>
      <c r="E1033" t="s">
        <v>28</v>
      </c>
      <c r="F1033" t="s">
        <v>29</v>
      </c>
      <c r="G1033" t="s">
        <v>83</v>
      </c>
      <c r="H1033">
        <v>6</v>
      </c>
      <c r="I1033">
        <v>31179.96</v>
      </c>
      <c r="J1033" s="2">
        <v>0.05</v>
      </c>
      <c r="K1033" t="s">
        <v>18</v>
      </c>
      <c r="L1033">
        <v>177725.77</v>
      </c>
      <c r="M1033" t="str">
        <f>TEXT(Table1[[#This Row],[OrderDate]], "mmm")</f>
        <v>Mar</v>
      </c>
      <c r="N1033" t="str">
        <f>IF(Table1[[#This Row],[TotalSales]]&gt;50000,"High",IF(L1033&gt;20000,"Medium","Low"))</f>
        <v>High</v>
      </c>
      <c r="O1033">
        <f>Table1[[#This Row],[TotalSales]]/Table1[[#This Row],[Quantity]]</f>
        <v>29620.961666666666</v>
      </c>
    </row>
    <row r="1034" spans="1:15" x14ac:dyDescent="0.35">
      <c r="A1034" t="s">
        <v>1092</v>
      </c>
      <c r="B1034" s="1">
        <v>45466</v>
      </c>
      <c r="C1034" t="s">
        <v>13</v>
      </c>
      <c r="D1034" t="s">
        <v>33</v>
      </c>
      <c r="E1034" t="s">
        <v>28</v>
      </c>
      <c r="F1034" t="s">
        <v>104</v>
      </c>
      <c r="G1034" t="s">
        <v>69</v>
      </c>
      <c r="H1034">
        <v>10</v>
      </c>
      <c r="I1034">
        <v>43701.23</v>
      </c>
      <c r="J1034" s="2">
        <v>0.15</v>
      </c>
      <c r="K1034" t="s">
        <v>18</v>
      </c>
      <c r="L1034">
        <v>371460.46</v>
      </c>
      <c r="M1034" t="str">
        <f>TEXT(Table1[[#This Row],[OrderDate]], "mmm")</f>
        <v>Jun</v>
      </c>
      <c r="N1034" t="str">
        <f>IF(Table1[[#This Row],[TotalSales]]&gt;50000,"High",IF(L1034&gt;20000,"Medium","Low"))</f>
        <v>High</v>
      </c>
      <c r="O1034">
        <f>Table1[[#This Row],[TotalSales]]/Table1[[#This Row],[Quantity]]</f>
        <v>37146.046000000002</v>
      </c>
    </row>
    <row r="1035" spans="1:15" x14ac:dyDescent="0.35">
      <c r="A1035" t="s">
        <v>1093</v>
      </c>
      <c r="B1035" s="1">
        <v>45452</v>
      </c>
      <c r="C1035" t="s">
        <v>40</v>
      </c>
      <c r="D1035" t="s">
        <v>55</v>
      </c>
      <c r="E1035" t="s">
        <v>22</v>
      </c>
      <c r="F1035" t="s">
        <v>82</v>
      </c>
      <c r="G1035" t="s">
        <v>49</v>
      </c>
      <c r="H1035">
        <v>9</v>
      </c>
      <c r="I1035">
        <v>48463.9</v>
      </c>
      <c r="J1035" s="2">
        <v>0.05</v>
      </c>
      <c r="K1035" t="s">
        <v>31</v>
      </c>
      <c r="L1035">
        <v>414366.35</v>
      </c>
      <c r="M1035" t="str">
        <f>TEXT(Table1[[#This Row],[OrderDate]], "mmm")</f>
        <v>Jun</v>
      </c>
      <c r="N1035" t="str">
        <f>IF(Table1[[#This Row],[TotalSales]]&gt;50000,"High",IF(L1035&gt;20000,"Medium","Low"))</f>
        <v>High</v>
      </c>
      <c r="O1035">
        <f>Table1[[#This Row],[TotalSales]]/Table1[[#This Row],[Quantity]]</f>
        <v>46040.705555555556</v>
      </c>
    </row>
    <row r="1036" spans="1:15" x14ac:dyDescent="0.35">
      <c r="A1036" t="s">
        <v>1094</v>
      </c>
      <c r="B1036" s="1">
        <v>45656</v>
      </c>
      <c r="C1036" t="s">
        <v>20</v>
      </c>
      <c r="D1036" t="s">
        <v>97</v>
      </c>
      <c r="E1036" t="s">
        <v>34</v>
      </c>
      <c r="F1036" t="s">
        <v>88</v>
      </c>
      <c r="G1036" t="s">
        <v>30</v>
      </c>
      <c r="H1036">
        <v>3</v>
      </c>
      <c r="I1036">
        <v>20135.28</v>
      </c>
      <c r="J1036" s="2">
        <v>0.2</v>
      </c>
      <c r="K1036" t="s">
        <v>18</v>
      </c>
      <c r="L1036">
        <v>48324.67</v>
      </c>
      <c r="M1036" t="str">
        <f>TEXT(Table1[[#This Row],[OrderDate]], "mmm")</f>
        <v>Dec</v>
      </c>
      <c r="N1036" t="str">
        <f>IF(Table1[[#This Row],[TotalSales]]&gt;50000,"High",IF(L1036&gt;20000,"Medium","Low"))</f>
        <v>Medium</v>
      </c>
      <c r="O1036">
        <f>Table1[[#This Row],[TotalSales]]/Table1[[#This Row],[Quantity]]</f>
        <v>16108.223333333333</v>
      </c>
    </row>
    <row r="1037" spans="1:15" x14ac:dyDescent="0.35">
      <c r="A1037" t="s">
        <v>1095</v>
      </c>
      <c r="B1037" s="1">
        <v>45601</v>
      </c>
      <c r="C1037" t="s">
        <v>40</v>
      </c>
      <c r="D1037" t="s">
        <v>41</v>
      </c>
      <c r="E1037" t="s">
        <v>28</v>
      </c>
      <c r="F1037" t="s">
        <v>29</v>
      </c>
      <c r="G1037" t="s">
        <v>49</v>
      </c>
      <c r="H1037">
        <v>15</v>
      </c>
      <c r="I1037">
        <v>29589.8</v>
      </c>
      <c r="J1037" s="2">
        <v>0.2</v>
      </c>
      <c r="K1037" t="s">
        <v>31</v>
      </c>
      <c r="L1037">
        <v>355077.6</v>
      </c>
      <c r="M1037" t="str">
        <f>TEXT(Table1[[#This Row],[OrderDate]], "mmm")</f>
        <v>Nov</v>
      </c>
      <c r="N1037" t="str">
        <f>IF(Table1[[#This Row],[TotalSales]]&gt;50000,"High",IF(L1037&gt;20000,"Medium","Low"))</f>
        <v>High</v>
      </c>
      <c r="O1037">
        <f>Table1[[#This Row],[TotalSales]]/Table1[[#This Row],[Quantity]]</f>
        <v>23671.84</v>
      </c>
    </row>
    <row r="1038" spans="1:15" x14ac:dyDescent="0.35">
      <c r="A1038" t="s">
        <v>1096</v>
      </c>
      <c r="B1038" s="1">
        <v>45508</v>
      </c>
      <c r="C1038" t="s">
        <v>20</v>
      </c>
      <c r="D1038" t="s">
        <v>97</v>
      </c>
      <c r="E1038" t="s">
        <v>22</v>
      </c>
      <c r="F1038" t="s">
        <v>52</v>
      </c>
      <c r="G1038" t="s">
        <v>66</v>
      </c>
      <c r="H1038">
        <v>12</v>
      </c>
      <c r="I1038">
        <v>45058.54</v>
      </c>
      <c r="J1038" s="2">
        <v>0</v>
      </c>
      <c r="K1038" t="s">
        <v>31</v>
      </c>
      <c r="L1038">
        <f>(Table1[[#This Row],[Quantity]]*Table1[[#This Row],[UnitPrice]])-(Table1[[#This Row],[Quantity]]*Table1[[#This Row],[UnitPrice]])*Table1[[#This Row],[Discount%]]</f>
        <v>540702.48</v>
      </c>
      <c r="M1038" t="str">
        <f>TEXT(Table1[[#This Row],[OrderDate]], "mmm")</f>
        <v>Aug</v>
      </c>
      <c r="N1038" t="str">
        <f>IF(Table1[[#This Row],[TotalSales]]&gt;50000,"High",IF(L1038&gt;20000,"Medium","Low"))</f>
        <v>High</v>
      </c>
      <c r="O1038">
        <f>Table1[[#This Row],[TotalSales]]/Table1[[#This Row],[Quantity]]</f>
        <v>45058.54</v>
      </c>
    </row>
    <row r="1039" spans="1:15" x14ac:dyDescent="0.35">
      <c r="A1039" t="s">
        <v>1097</v>
      </c>
      <c r="B1039" s="1">
        <v>45612</v>
      </c>
      <c r="C1039" t="s">
        <v>20</v>
      </c>
      <c r="D1039" t="s">
        <v>97</v>
      </c>
      <c r="E1039" t="s">
        <v>28</v>
      </c>
      <c r="F1039" t="s">
        <v>104</v>
      </c>
      <c r="G1039" t="s">
        <v>69</v>
      </c>
      <c r="H1039">
        <v>7</v>
      </c>
      <c r="I1039">
        <v>30628.49</v>
      </c>
      <c r="J1039" s="2">
        <v>0.1</v>
      </c>
      <c r="K1039" t="s">
        <v>25</v>
      </c>
      <c r="L1039">
        <v>192959.49</v>
      </c>
      <c r="M1039" t="str">
        <f>TEXT(Table1[[#This Row],[OrderDate]], "mmm")</f>
        <v>Nov</v>
      </c>
      <c r="N1039" t="str">
        <f>IF(Table1[[#This Row],[TotalSales]]&gt;50000,"High",IF(L1039&gt;20000,"Medium","Low"))</f>
        <v>High</v>
      </c>
      <c r="O1039">
        <f>Table1[[#This Row],[TotalSales]]/Table1[[#This Row],[Quantity]]</f>
        <v>27565.641428571427</v>
      </c>
    </row>
    <row r="1040" spans="1:15" x14ac:dyDescent="0.35">
      <c r="A1040" t="s">
        <v>1098</v>
      </c>
      <c r="B1040" s="1">
        <v>45300</v>
      </c>
      <c r="C1040" t="s">
        <v>20</v>
      </c>
      <c r="D1040" t="s">
        <v>97</v>
      </c>
      <c r="E1040" t="s">
        <v>28</v>
      </c>
      <c r="F1040" t="s">
        <v>125</v>
      </c>
      <c r="G1040" t="s">
        <v>43</v>
      </c>
      <c r="H1040">
        <v>2</v>
      </c>
      <c r="I1040">
        <v>3072.81</v>
      </c>
      <c r="J1040" s="2">
        <v>0</v>
      </c>
      <c r="K1040" t="s">
        <v>25</v>
      </c>
      <c r="L1040">
        <v>6145.62</v>
      </c>
      <c r="M1040" t="str">
        <f>TEXT(Table1[[#This Row],[OrderDate]], "mmm")</f>
        <v>Jan</v>
      </c>
      <c r="N1040" t="str">
        <f>IF(Table1[[#This Row],[TotalSales]]&gt;50000,"High",IF(L1040&gt;20000,"Medium","Low"))</f>
        <v>Low</v>
      </c>
      <c r="O1040">
        <f>Table1[[#This Row],[TotalSales]]/Table1[[#This Row],[Quantity]]</f>
        <v>3072.81</v>
      </c>
    </row>
    <row r="1041" spans="1:15" x14ac:dyDescent="0.35">
      <c r="A1041" t="s">
        <v>1099</v>
      </c>
      <c r="B1041" s="1">
        <v>45605</v>
      </c>
      <c r="C1041" t="s">
        <v>20</v>
      </c>
      <c r="D1041" t="s">
        <v>97</v>
      </c>
      <c r="E1041" t="s">
        <v>28</v>
      </c>
      <c r="F1041" t="s">
        <v>104</v>
      </c>
      <c r="G1041" t="s">
        <v>43</v>
      </c>
      <c r="H1041">
        <v>14</v>
      </c>
      <c r="I1041">
        <v>41877.129999999997</v>
      </c>
      <c r="J1041" s="2">
        <v>0.15</v>
      </c>
      <c r="K1041" t="s">
        <v>18</v>
      </c>
      <c r="L1041">
        <v>498337.85</v>
      </c>
      <c r="M1041" t="str">
        <f>TEXT(Table1[[#This Row],[OrderDate]], "mmm")</f>
        <v>Nov</v>
      </c>
      <c r="N1041" t="str">
        <f>IF(Table1[[#This Row],[TotalSales]]&gt;50000,"High",IF(L1041&gt;20000,"Medium","Low"))</f>
        <v>High</v>
      </c>
      <c r="O1041">
        <f>Table1[[#This Row],[TotalSales]]/Table1[[#This Row],[Quantity]]</f>
        <v>35595.560714285712</v>
      </c>
    </row>
    <row r="1042" spans="1:15" x14ac:dyDescent="0.35">
      <c r="A1042" t="s">
        <v>1100</v>
      </c>
      <c r="B1042" s="1">
        <v>45369</v>
      </c>
      <c r="C1042" t="s">
        <v>46</v>
      </c>
      <c r="D1042" t="s">
        <v>47</v>
      </c>
      <c r="E1042" t="s">
        <v>34</v>
      </c>
      <c r="F1042" t="s">
        <v>35</v>
      </c>
      <c r="G1042" t="s">
        <v>66</v>
      </c>
      <c r="H1042">
        <v>2</v>
      </c>
      <c r="I1042">
        <v>28848.38</v>
      </c>
      <c r="J1042" s="2">
        <v>0.15</v>
      </c>
      <c r="K1042" t="s">
        <v>44</v>
      </c>
      <c r="L1042">
        <v>49042.25</v>
      </c>
      <c r="M1042" t="str">
        <f>TEXT(Table1[[#This Row],[OrderDate]], "mmm")</f>
        <v>Mar</v>
      </c>
      <c r="N1042" t="str">
        <f>IF(Table1[[#This Row],[TotalSales]]&gt;50000,"High",IF(L1042&gt;20000,"Medium","Low"))</f>
        <v>Medium</v>
      </c>
      <c r="O1042">
        <f>Table1[[#This Row],[TotalSales]]/Table1[[#This Row],[Quantity]]</f>
        <v>24521.125</v>
      </c>
    </row>
    <row r="1043" spans="1:15" x14ac:dyDescent="0.35">
      <c r="A1043" t="s">
        <v>1101</v>
      </c>
      <c r="B1043" s="1">
        <v>45323</v>
      </c>
      <c r="C1043" t="s">
        <v>40</v>
      </c>
      <c r="D1043" t="s">
        <v>51</v>
      </c>
      <c r="E1043" t="s">
        <v>15</v>
      </c>
      <c r="F1043" t="s">
        <v>38</v>
      </c>
      <c r="G1043" t="s">
        <v>30</v>
      </c>
      <c r="H1043">
        <v>9</v>
      </c>
      <c r="I1043">
        <v>23016.14</v>
      </c>
      <c r="J1043" s="2">
        <v>0.2</v>
      </c>
      <c r="K1043" t="s">
        <v>18</v>
      </c>
      <c r="L1043">
        <v>165716.21</v>
      </c>
      <c r="M1043" t="str">
        <f>TEXT(Table1[[#This Row],[OrderDate]], "mmm")</f>
        <v>Feb</v>
      </c>
      <c r="N1043" t="str">
        <f>IF(Table1[[#This Row],[TotalSales]]&gt;50000,"High",IF(L1043&gt;20000,"Medium","Low"))</f>
        <v>High</v>
      </c>
      <c r="O1043">
        <f>Table1[[#This Row],[TotalSales]]/Table1[[#This Row],[Quantity]]</f>
        <v>18412.912222222221</v>
      </c>
    </row>
    <row r="1044" spans="1:15" x14ac:dyDescent="0.35">
      <c r="A1044" t="s">
        <v>1102</v>
      </c>
      <c r="B1044" s="1">
        <v>45320</v>
      </c>
      <c r="C1044" t="s">
        <v>20</v>
      </c>
      <c r="D1044" t="s">
        <v>27</v>
      </c>
      <c r="E1044" t="s">
        <v>15</v>
      </c>
      <c r="F1044" t="s">
        <v>56</v>
      </c>
      <c r="G1044" t="s">
        <v>69</v>
      </c>
      <c r="H1044">
        <v>11</v>
      </c>
      <c r="I1044">
        <v>37657</v>
      </c>
      <c r="J1044" s="2">
        <v>0</v>
      </c>
      <c r="K1044" t="s">
        <v>18</v>
      </c>
      <c r="L1044">
        <v>414227</v>
      </c>
      <c r="M1044" t="str">
        <f>TEXT(Table1[[#This Row],[OrderDate]], "mmm")</f>
        <v>Jan</v>
      </c>
      <c r="N1044" t="str">
        <f>IF(Table1[[#This Row],[TotalSales]]&gt;50000,"High",IF(L1044&gt;20000,"Medium","Low"))</f>
        <v>High</v>
      </c>
      <c r="O1044">
        <f>Table1[[#This Row],[TotalSales]]/Table1[[#This Row],[Quantity]]</f>
        <v>37657</v>
      </c>
    </row>
    <row r="1045" spans="1:15" x14ac:dyDescent="0.35">
      <c r="A1045" t="s">
        <v>1103</v>
      </c>
      <c r="B1045" s="1">
        <v>45490</v>
      </c>
      <c r="C1045" t="s">
        <v>13</v>
      </c>
      <c r="D1045" t="s">
        <v>37</v>
      </c>
      <c r="E1045" t="s">
        <v>22</v>
      </c>
      <c r="F1045" t="s">
        <v>42</v>
      </c>
      <c r="G1045" t="s">
        <v>66</v>
      </c>
      <c r="H1045">
        <v>13</v>
      </c>
      <c r="I1045">
        <v>34961.32</v>
      </c>
      <c r="J1045" s="2">
        <v>0.05</v>
      </c>
      <c r="K1045" t="s">
        <v>31</v>
      </c>
      <c r="L1045">
        <v>431772.3</v>
      </c>
      <c r="M1045" t="str">
        <f>TEXT(Table1[[#This Row],[OrderDate]], "mmm")</f>
        <v>Jul</v>
      </c>
      <c r="N1045" t="str">
        <f>IF(Table1[[#This Row],[TotalSales]]&gt;50000,"High",IF(L1045&gt;20000,"Medium","Low"))</f>
        <v>High</v>
      </c>
      <c r="O1045">
        <f>Table1[[#This Row],[TotalSales]]/Table1[[#This Row],[Quantity]]</f>
        <v>33213.253846153842</v>
      </c>
    </row>
    <row r="1046" spans="1:15" x14ac:dyDescent="0.35">
      <c r="A1046" t="s">
        <v>1104</v>
      </c>
      <c r="B1046" s="1">
        <v>45409</v>
      </c>
      <c r="C1046" t="s">
        <v>46</v>
      </c>
      <c r="D1046" t="s">
        <v>47</v>
      </c>
      <c r="E1046" t="s">
        <v>15</v>
      </c>
      <c r="F1046" t="s">
        <v>59</v>
      </c>
      <c r="G1046" t="s">
        <v>24</v>
      </c>
      <c r="H1046">
        <v>10</v>
      </c>
      <c r="I1046">
        <v>27132.28</v>
      </c>
      <c r="J1046" s="2">
        <v>0</v>
      </c>
      <c r="K1046" t="s">
        <v>25</v>
      </c>
      <c r="L1046">
        <v>271322.8</v>
      </c>
      <c r="M1046" t="str">
        <f>TEXT(Table1[[#This Row],[OrderDate]], "mmm")</f>
        <v>Apr</v>
      </c>
      <c r="N1046" t="str">
        <f>IF(Table1[[#This Row],[TotalSales]]&gt;50000,"High",IF(L1046&gt;20000,"Medium","Low"))</f>
        <v>High</v>
      </c>
      <c r="O1046">
        <f>Table1[[#This Row],[TotalSales]]/Table1[[#This Row],[Quantity]]</f>
        <v>27132.28</v>
      </c>
    </row>
    <row r="1047" spans="1:15" x14ac:dyDescent="0.35">
      <c r="A1047" t="s">
        <v>1105</v>
      </c>
      <c r="B1047" s="1">
        <v>45610</v>
      </c>
      <c r="C1047" t="s">
        <v>46</v>
      </c>
      <c r="D1047" t="s">
        <v>71</v>
      </c>
      <c r="E1047" t="s">
        <v>22</v>
      </c>
      <c r="F1047" t="s">
        <v>42</v>
      </c>
      <c r="G1047" t="s">
        <v>83</v>
      </c>
      <c r="H1047">
        <v>5</v>
      </c>
      <c r="I1047">
        <v>14757.44</v>
      </c>
      <c r="J1047" s="2">
        <v>0</v>
      </c>
      <c r="K1047" t="s">
        <v>18</v>
      </c>
      <c r="L1047">
        <v>73787.199999999997</v>
      </c>
      <c r="M1047" t="str">
        <f>TEXT(Table1[[#This Row],[OrderDate]], "mmm")</f>
        <v>Nov</v>
      </c>
      <c r="N1047" t="str">
        <f>IF(Table1[[#This Row],[TotalSales]]&gt;50000,"High",IF(L1047&gt;20000,"Medium","Low"))</f>
        <v>High</v>
      </c>
      <c r="O1047">
        <f>Table1[[#This Row],[TotalSales]]/Table1[[#This Row],[Quantity]]</f>
        <v>14757.439999999999</v>
      </c>
    </row>
    <row r="1048" spans="1:15" x14ac:dyDescent="0.35">
      <c r="A1048" t="s">
        <v>1106</v>
      </c>
      <c r="B1048" s="1">
        <v>45625</v>
      </c>
      <c r="C1048" t="s">
        <v>40</v>
      </c>
      <c r="D1048" t="s">
        <v>55</v>
      </c>
      <c r="E1048" t="s">
        <v>28</v>
      </c>
      <c r="F1048" t="s">
        <v>29</v>
      </c>
      <c r="G1048" t="s">
        <v>24</v>
      </c>
      <c r="H1048">
        <v>5</v>
      </c>
      <c r="I1048">
        <v>24950.41</v>
      </c>
      <c r="J1048" s="2">
        <v>0.05</v>
      </c>
      <c r="K1048" t="s">
        <v>31</v>
      </c>
      <c r="L1048">
        <v>118514.45</v>
      </c>
      <c r="M1048" t="str">
        <f>TEXT(Table1[[#This Row],[OrderDate]], "mmm")</f>
        <v>Nov</v>
      </c>
      <c r="N1048" t="str">
        <f>IF(Table1[[#This Row],[TotalSales]]&gt;50000,"High",IF(L1048&gt;20000,"Medium","Low"))</f>
        <v>High</v>
      </c>
      <c r="O1048">
        <f>Table1[[#This Row],[TotalSales]]/Table1[[#This Row],[Quantity]]</f>
        <v>23702.89</v>
      </c>
    </row>
    <row r="1049" spans="1:15" x14ac:dyDescent="0.35">
      <c r="A1049" t="s">
        <v>1107</v>
      </c>
      <c r="B1049" s="1">
        <v>45397</v>
      </c>
      <c r="C1049" t="s">
        <v>46</v>
      </c>
      <c r="D1049" t="s">
        <v>71</v>
      </c>
      <c r="E1049" t="s">
        <v>15</v>
      </c>
      <c r="F1049" t="s">
        <v>38</v>
      </c>
      <c r="G1049" t="s">
        <v>49</v>
      </c>
      <c r="H1049">
        <v>4</v>
      </c>
      <c r="I1049">
        <v>41834.81</v>
      </c>
      <c r="J1049" s="2">
        <v>0.15</v>
      </c>
      <c r="K1049" t="s">
        <v>44</v>
      </c>
      <c r="L1049">
        <v>142238.35</v>
      </c>
      <c r="M1049" t="str">
        <f>TEXT(Table1[[#This Row],[OrderDate]], "mmm")</f>
        <v>Apr</v>
      </c>
      <c r="N1049" t="str">
        <f>IF(Table1[[#This Row],[TotalSales]]&gt;50000,"High",IF(L1049&gt;20000,"Medium","Low"))</f>
        <v>High</v>
      </c>
      <c r="O1049">
        <f>Table1[[#This Row],[TotalSales]]/Table1[[#This Row],[Quantity]]</f>
        <v>35559.587500000001</v>
      </c>
    </row>
    <row r="1050" spans="1:15" x14ac:dyDescent="0.35">
      <c r="A1050" t="s">
        <v>1108</v>
      </c>
      <c r="B1050" s="1">
        <v>45421</v>
      </c>
      <c r="C1050" t="s">
        <v>20</v>
      </c>
      <c r="D1050" t="s">
        <v>21</v>
      </c>
      <c r="E1050" t="s">
        <v>34</v>
      </c>
      <c r="F1050" t="s">
        <v>35</v>
      </c>
      <c r="G1050" t="s">
        <v>66</v>
      </c>
      <c r="H1050">
        <v>4</v>
      </c>
      <c r="I1050">
        <v>28208.25</v>
      </c>
      <c r="J1050" s="2">
        <v>0</v>
      </c>
      <c r="K1050" t="s">
        <v>44</v>
      </c>
      <c r="L1050">
        <v>112833</v>
      </c>
      <c r="M1050" t="str">
        <f>TEXT(Table1[[#This Row],[OrderDate]], "mmm")</f>
        <v>May</v>
      </c>
      <c r="N1050" t="str">
        <f>IF(Table1[[#This Row],[TotalSales]]&gt;50000,"High",IF(L1050&gt;20000,"Medium","Low"))</f>
        <v>High</v>
      </c>
      <c r="O1050">
        <f>Table1[[#This Row],[TotalSales]]/Table1[[#This Row],[Quantity]]</f>
        <v>28208.25</v>
      </c>
    </row>
    <row r="1051" spans="1:15" x14ac:dyDescent="0.35">
      <c r="A1051" t="s">
        <v>1109</v>
      </c>
      <c r="B1051" s="1">
        <v>45537</v>
      </c>
      <c r="C1051" t="s">
        <v>20</v>
      </c>
      <c r="D1051" t="s">
        <v>97</v>
      </c>
      <c r="E1051" t="s">
        <v>34</v>
      </c>
      <c r="F1051" t="s">
        <v>88</v>
      </c>
      <c r="G1051" t="s">
        <v>43</v>
      </c>
      <c r="H1051">
        <v>9</v>
      </c>
      <c r="I1051">
        <v>32901.370000000003</v>
      </c>
      <c r="J1051" s="2">
        <v>0.2</v>
      </c>
      <c r="K1051" t="s">
        <v>31</v>
      </c>
      <c r="L1051">
        <v>236889.86</v>
      </c>
      <c r="M1051" t="str">
        <f>TEXT(Table1[[#This Row],[OrderDate]], "mmm")</f>
        <v>Sep</v>
      </c>
      <c r="N1051" t="str">
        <f>IF(Table1[[#This Row],[TotalSales]]&gt;50000,"High",IF(L1051&gt;20000,"Medium","Low"))</f>
        <v>High</v>
      </c>
      <c r="O1051">
        <f>Table1[[#This Row],[TotalSales]]/Table1[[#This Row],[Quantity]]</f>
        <v>26321.095555555556</v>
      </c>
    </row>
    <row r="1052" spans="1:15" x14ac:dyDescent="0.35">
      <c r="A1052" t="s">
        <v>1110</v>
      </c>
      <c r="B1052" s="1">
        <v>45447</v>
      </c>
      <c r="C1052" t="s">
        <v>13</v>
      </c>
      <c r="D1052" t="s">
        <v>14</v>
      </c>
      <c r="E1052" t="s">
        <v>15</v>
      </c>
      <c r="F1052" t="s">
        <v>16</v>
      </c>
      <c r="G1052" t="s">
        <v>66</v>
      </c>
      <c r="H1052">
        <v>8</v>
      </c>
      <c r="I1052">
        <v>21101.87</v>
      </c>
      <c r="J1052" s="2">
        <v>0.1</v>
      </c>
      <c r="K1052" t="s">
        <v>44</v>
      </c>
      <c r="L1052">
        <v>151933.46</v>
      </c>
      <c r="M1052" t="str">
        <f>TEXT(Table1[[#This Row],[OrderDate]], "mmm")</f>
        <v>Jun</v>
      </c>
      <c r="N1052" t="str">
        <f>IF(Table1[[#This Row],[TotalSales]]&gt;50000,"High",IF(L1052&gt;20000,"Medium","Low"))</f>
        <v>High</v>
      </c>
      <c r="O1052">
        <f>Table1[[#This Row],[TotalSales]]/Table1[[#This Row],[Quantity]]</f>
        <v>18991.682499999999</v>
      </c>
    </row>
    <row r="1053" spans="1:15" x14ac:dyDescent="0.35">
      <c r="A1053" t="s">
        <v>1111</v>
      </c>
      <c r="B1053" s="1">
        <v>45303</v>
      </c>
      <c r="C1053" t="s">
        <v>40</v>
      </c>
      <c r="D1053" t="s">
        <v>51</v>
      </c>
      <c r="E1053" t="s">
        <v>15</v>
      </c>
      <c r="F1053" t="s">
        <v>56</v>
      </c>
      <c r="G1053" t="s">
        <v>69</v>
      </c>
      <c r="H1053">
        <v>5</v>
      </c>
      <c r="I1053">
        <v>42420.31</v>
      </c>
      <c r="J1053" s="2">
        <v>0</v>
      </c>
      <c r="K1053" t="s">
        <v>31</v>
      </c>
      <c r="L1053">
        <v>212101.55</v>
      </c>
      <c r="M1053" t="str">
        <f>TEXT(Table1[[#This Row],[OrderDate]], "mmm")</f>
        <v>Jan</v>
      </c>
      <c r="N1053" t="str">
        <f>IF(Table1[[#This Row],[TotalSales]]&gt;50000,"High",IF(L1053&gt;20000,"Medium","Low"))</f>
        <v>High</v>
      </c>
      <c r="O1053">
        <f>Table1[[#This Row],[TotalSales]]/Table1[[#This Row],[Quantity]]</f>
        <v>42420.31</v>
      </c>
    </row>
    <row r="1054" spans="1:15" x14ac:dyDescent="0.35">
      <c r="A1054" t="s">
        <v>1112</v>
      </c>
      <c r="B1054" s="1">
        <v>45349</v>
      </c>
      <c r="C1054" t="s">
        <v>20</v>
      </c>
      <c r="D1054" t="s">
        <v>27</v>
      </c>
      <c r="E1054" t="s">
        <v>15</v>
      </c>
      <c r="F1054" t="s">
        <v>38</v>
      </c>
      <c r="G1054" t="s">
        <v>30</v>
      </c>
      <c r="H1054">
        <v>2</v>
      </c>
      <c r="I1054">
        <v>39919.53</v>
      </c>
      <c r="J1054" s="2">
        <v>0.05</v>
      </c>
      <c r="K1054" t="s">
        <v>31</v>
      </c>
      <c r="L1054">
        <v>75847.11</v>
      </c>
      <c r="M1054" t="str">
        <f>TEXT(Table1[[#This Row],[OrderDate]], "mmm")</f>
        <v>Feb</v>
      </c>
      <c r="N1054" t="str">
        <f>IF(Table1[[#This Row],[TotalSales]]&gt;50000,"High",IF(L1054&gt;20000,"Medium","Low"))</f>
        <v>High</v>
      </c>
      <c r="O1054">
        <f>Table1[[#This Row],[TotalSales]]/Table1[[#This Row],[Quantity]]</f>
        <v>37923.555</v>
      </c>
    </row>
    <row r="1055" spans="1:15" x14ac:dyDescent="0.35">
      <c r="A1055" t="s">
        <v>1113</v>
      </c>
      <c r="B1055" s="1">
        <v>45639</v>
      </c>
      <c r="C1055" t="s">
        <v>46</v>
      </c>
      <c r="D1055" t="s">
        <v>79</v>
      </c>
      <c r="E1055" t="s">
        <v>22</v>
      </c>
      <c r="F1055" t="s">
        <v>42</v>
      </c>
      <c r="G1055" t="s">
        <v>43</v>
      </c>
      <c r="H1055">
        <v>7</v>
      </c>
      <c r="I1055">
        <v>1838.42</v>
      </c>
      <c r="J1055" s="2">
        <v>0.05</v>
      </c>
      <c r="K1055" t="s">
        <v>31</v>
      </c>
      <c r="L1055">
        <f>(Table1[[#This Row],[Quantity]]*Table1[[#This Row],[UnitPrice]])-(Table1[[#This Row],[Quantity]]*Table1[[#This Row],[UnitPrice]])*Table1[[#This Row],[Discount%]]</f>
        <v>12225.493</v>
      </c>
      <c r="M1055" t="str">
        <f>TEXT(Table1[[#This Row],[OrderDate]], "mmm")</f>
        <v>Dec</v>
      </c>
      <c r="N1055" t="str">
        <f>IF(Table1[[#This Row],[TotalSales]]&gt;50000,"High",IF(L1055&gt;20000,"Medium","Low"))</f>
        <v>Low</v>
      </c>
      <c r="O1055">
        <f>Table1[[#This Row],[TotalSales]]/Table1[[#This Row],[Quantity]]</f>
        <v>1746.499</v>
      </c>
    </row>
    <row r="1056" spans="1:15" x14ac:dyDescent="0.35">
      <c r="A1056" t="s">
        <v>1114</v>
      </c>
      <c r="B1056" s="1">
        <v>45428</v>
      </c>
      <c r="C1056" t="s">
        <v>40</v>
      </c>
      <c r="D1056" t="s">
        <v>55</v>
      </c>
      <c r="E1056" t="s">
        <v>28</v>
      </c>
      <c r="F1056" t="s">
        <v>29</v>
      </c>
      <c r="G1056" t="s">
        <v>43</v>
      </c>
      <c r="H1056">
        <v>1</v>
      </c>
      <c r="I1056">
        <v>36984.089999999997</v>
      </c>
      <c r="J1056" s="2">
        <v>0.2</v>
      </c>
      <c r="K1056" t="s">
        <v>25</v>
      </c>
      <c r="L1056">
        <v>29587.27</v>
      </c>
      <c r="M1056" t="str">
        <f>TEXT(Table1[[#This Row],[OrderDate]], "mmm")</f>
        <v>May</v>
      </c>
      <c r="N1056" t="str">
        <f>IF(Table1[[#This Row],[TotalSales]]&gt;50000,"High",IF(L1056&gt;20000,"Medium","Low"))</f>
        <v>Medium</v>
      </c>
      <c r="O1056">
        <f>Table1[[#This Row],[TotalSales]]/Table1[[#This Row],[Quantity]]</f>
        <v>29587.27</v>
      </c>
    </row>
    <row r="1057" spans="1:15" x14ac:dyDescent="0.35">
      <c r="A1057" t="s">
        <v>1115</v>
      </c>
      <c r="B1057" s="1">
        <v>45478</v>
      </c>
      <c r="C1057" t="s">
        <v>46</v>
      </c>
      <c r="D1057" t="s">
        <v>79</v>
      </c>
      <c r="E1057" t="s">
        <v>34</v>
      </c>
      <c r="F1057" t="s">
        <v>61</v>
      </c>
      <c r="G1057" t="s">
        <v>24</v>
      </c>
      <c r="H1057">
        <v>2</v>
      </c>
      <c r="I1057">
        <v>32973.089999999997</v>
      </c>
      <c r="J1057" s="2">
        <v>0.05</v>
      </c>
      <c r="K1057" t="s">
        <v>44</v>
      </c>
      <c r="L1057">
        <v>62648.87</v>
      </c>
      <c r="M1057" t="str">
        <f>TEXT(Table1[[#This Row],[OrderDate]], "mmm")</f>
        <v>Jul</v>
      </c>
      <c r="N1057" t="str">
        <f>IF(Table1[[#This Row],[TotalSales]]&gt;50000,"High",IF(L1057&gt;20000,"Medium","Low"))</f>
        <v>High</v>
      </c>
      <c r="O1057">
        <f>Table1[[#This Row],[TotalSales]]/Table1[[#This Row],[Quantity]]</f>
        <v>31324.435000000001</v>
      </c>
    </row>
    <row r="1058" spans="1:15" x14ac:dyDescent="0.35">
      <c r="A1058" t="s">
        <v>1116</v>
      </c>
      <c r="B1058" s="1">
        <v>45497</v>
      </c>
      <c r="C1058" t="s">
        <v>20</v>
      </c>
      <c r="D1058" t="s">
        <v>21</v>
      </c>
      <c r="E1058" t="s">
        <v>28</v>
      </c>
      <c r="F1058" t="s">
        <v>104</v>
      </c>
      <c r="G1058" t="s">
        <v>66</v>
      </c>
      <c r="H1058">
        <v>6</v>
      </c>
      <c r="I1058">
        <v>25818.13</v>
      </c>
      <c r="J1058" s="2">
        <v>0</v>
      </c>
      <c r="K1058" t="s">
        <v>44</v>
      </c>
      <c r="L1058">
        <v>154908.78</v>
      </c>
      <c r="M1058" t="str">
        <f>TEXT(Table1[[#This Row],[OrderDate]], "mmm")</f>
        <v>Jul</v>
      </c>
      <c r="N1058" t="str">
        <f>IF(Table1[[#This Row],[TotalSales]]&gt;50000,"High",IF(L1058&gt;20000,"Medium","Low"))</f>
        <v>High</v>
      </c>
      <c r="O1058">
        <f>Table1[[#This Row],[TotalSales]]/Table1[[#This Row],[Quantity]]</f>
        <v>25818.13</v>
      </c>
    </row>
    <row r="1059" spans="1:15" x14ac:dyDescent="0.35">
      <c r="A1059" t="s">
        <v>1117</v>
      </c>
      <c r="B1059" s="1">
        <v>45462</v>
      </c>
      <c r="C1059" t="s">
        <v>13</v>
      </c>
      <c r="D1059" t="s">
        <v>14</v>
      </c>
      <c r="E1059" t="s">
        <v>34</v>
      </c>
      <c r="F1059" t="s">
        <v>35</v>
      </c>
      <c r="G1059" t="s">
        <v>83</v>
      </c>
      <c r="H1059">
        <v>15</v>
      </c>
      <c r="I1059">
        <v>19855.04</v>
      </c>
      <c r="J1059" s="2">
        <v>0.05</v>
      </c>
      <c r="K1059" t="s">
        <v>18</v>
      </c>
      <c r="L1059">
        <v>282934.32</v>
      </c>
      <c r="M1059" t="str">
        <f>TEXT(Table1[[#This Row],[OrderDate]], "mmm")</f>
        <v>Jun</v>
      </c>
      <c r="N1059" t="str">
        <f>IF(Table1[[#This Row],[TotalSales]]&gt;50000,"High",IF(L1059&gt;20000,"Medium","Low"))</f>
        <v>High</v>
      </c>
      <c r="O1059">
        <f>Table1[[#This Row],[TotalSales]]/Table1[[#This Row],[Quantity]]</f>
        <v>18862.288</v>
      </c>
    </row>
    <row r="1060" spans="1:15" x14ac:dyDescent="0.35">
      <c r="A1060" t="s">
        <v>1118</v>
      </c>
      <c r="B1060" s="1">
        <v>45646</v>
      </c>
      <c r="C1060" t="s">
        <v>20</v>
      </c>
      <c r="D1060" t="s">
        <v>27</v>
      </c>
      <c r="E1060" t="s">
        <v>28</v>
      </c>
      <c r="F1060" t="s">
        <v>125</v>
      </c>
      <c r="G1060" t="s">
        <v>43</v>
      </c>
      <c r="H1060">
        <v>7</v>
      </c>
      <c r="I1060">
        <v>4679.54</v>
      </c>
      <c r="J1060" s="2">
        <v>0.05</v>
      </c>
      <c r="K1060" t="s">
        <v>44</v>
      </c>
      <c r="L1060">
        <v>31118.94</v>
      </c>
      <c r="M1060" t="str">
        <f>TEXT(Table1[[#This Row],[OrderDate]], "mmm")</f>
        <v>Dec</v>
      </c>
      <c r="N1060" t="str">
        <f>IF(Table1[[#This Row],[TotalSales]]&gt;50000,"High",IF(L1060&gt;20000,"Medium","Low"))</f>
        <v>Medium</v>
      </c>
      <c r="O1060">
        <f>Table1[[#This Row],[TotalSales]]/Table1[[#This Row],[Quantity]]</f>
        <v>4445.562857142857</v>
      </c>
    </row>
    <row r="1061" spans="1:15" x14ac:dyDescent="0.35">
      <c r="A1061" t="s">
        <v>1119</v>
      </c>
      <c r="B1061" s="1">
        <v>45351</v>
      </c>
      <c r="C1061" t="s">
        <v>13</v>
      </c>
      <c r="D1061" t="s">
        <v>37</v>
      </c>
      <c r="E1061" t="s">
        <v>22</v>
      </c>
      <c r="F1061" t="s">
        <v>42</v>
      </c>
      <c r="G1061" t="s">
        <v>69</v>
      </c>
      <c r="H1061">
        <v>6</v>
      </c>
      <c r="I1061">
        <v>40305.64</v>
      </c>
      <c r="J1061" s="2">
        <v>0.2</v>
      </c>
      <c r="K1061" t="s">
        <v>44</v>
      </c>
      <c r="L1061">
        <v>193467.07</v>
      </c>
      <c r="M1061" t="str">
        <f>TEXT(Table1[[#This Row],[OrderDate]], "mmm")</f>
        <v>Feb</v>
      </c>
      <c r="N1061" t="str">
        <f>IF(Table1[[#This Row],[TotalSales]]&gt;50000,"High",IF(L1061&gt;20000,"Medium","Low"))</f>
        <v>High</v>
      </c>
      <c r="O1061">
        <f>Table1[[#This Row],[TotalSales]]/Table1[[#This Row],[Quantity]]</f>
        <v>32244.511666666669</v>
      </c>
    </row>
    <row r="1062" spans="1:15" x14ac:dyDescent="0.35">
      <c r="A1062" t="s">
        <v>1120</v>
      </c>
      <c r="B1062" s="1">
        <v>45621</v>
      </c>
      <c r="C1062" t="s">
        <v>20</v>
      </c>
      <c r="D1062" t="s">
        <v>21</v>
      </c>
      <c r="E1062" t="s">
        <v>34</v>
      </c>
      <c r="F1062" t="s">
        <v>35</v>
      </c>
      <c r="G1062" t="s">
        <v>17</v>
      </c>
      <c r="H1062">
        <v>8</v>
      </c>
      <c r="I1062">
        <v>8732.42</v>
      </c>
      <c r="J1062" s="2">
        <v>0.15</v>
      </c>
      <c r="K1062" t="s">
        <v>25</v>
      </c>
      <c r="L1062">
        <v>59380.46</v>
      </c>
      <c r="M1062" t="str">
        <f>TEXT(Table1[[#This Row],[OrderDate]], "mmm")</f>
        <v>Nov</v>
      </c>
      <c r="N1062" t="str">
        <f>IF(Table1[[#This Row],[TotalSales]]&gt;50000,"High",IF(L1062&gt;20000,"Medium","Low"))</f>
        <v>High</v>
      </c>
      <c r="O1062">
        <f>Table1[[#This Row],[TotalSales]]/Table1[[#This Row],[Quantity]]</f>
        <v>7422.5574999999999</v>
      </c>
    </row>
    <row r="1063" spans="1:15" x14ac:dyDescent="0.35">
      <c r="A1063" t="s">
        <v>1121</v>
      </c>
      <c r="B1063" s="1">
        <v>45499</v>
      </c>
      <c r="C1063" t="s">
        <v>13</v>
      </c>
      <c r="D1063" t="s">
        <v>14</v>
      </c>
      <c r="E1063" t="s">
        <v>22</v>
      </c>
      <c r="F1063" t="s">
        <v>23</v>
      </c>
      <c r="G1063" t="s">
        <v>49</v>
      </c>
      <c r="H1063">
        <v>5</v>
      </c>
      <c r="I1063">
        <v>45422.71</v>
      </c>
      <c r="J1063" s="2">
        <v>0.1</v>
      </c>
      <c r="K1063" t="s">
        <v>31</v>
      </c>
      <c r="L1063">
        <f>(Table1[[#This Row],[Quantity]]*Table1[[#This Row],[UnitPrice]])-(Table1[[#This Row],[Quantity]]*Table1[[#This Row],[UnitPrice]])*Table1[[#This Row],[Discount%]]</f>
        <v>204402.19499999998</v>
      </c>
      <c r="M1063" t="str">
        <f>TEXT(Table1[[#This Row],[OrderDate]], "mmm")</f>
        <v>Jul</v>
      </c>
      <c r="N1063" t="str">
        <f>IF(Table1[[#This Row],[TotalSales]]&gt;50000,"High",IF(L1063&gt;20000,"Medium","Low"))</f>
        <v>High</v>
      </c>
      <c r="O1063">
        <f>Table1[[#This Row],[TotalSales]]/Table1[[#This Row],[Quantity]]</f>
        <v>40880.438999999998</v>
      </c>
    </row>
    <row r="1064" spans="1:15" x14ac:dyDescent="0.35">
      <c r="A1064" t="s">
        <v>1122</v>
      </c>
      <c r="B1064" s="1">
        <v>45421</v>
      </c>
      <c r="C1064" t="s">
        <v>46</v>
      </c>
      <c r="D1064" t="s">
        <v>47</v>
      </c>
      <c r="E1064" t="s">
        <v>22</v>
      </c>
      <c r="F1064" t="s">
        <v>42</v>
      </c>
      <c r="G1064" t="s">
        <v>83</v>
      </c>
      <c r="H1064">
        <v>8</v>
      </c>
      <c r="I1064">
        <v>52315.49</v>
      </c>
      <c r="J1064" s="2">
        <v>0.05</v>
      </c>
      <c r="K1064" t="s">
        <v>25</v>
      </c>
      <c r="L1064">
        <v>397597.72</v>
      </c>
      <c r="M1064" t="str">
        <f>TEXT(Table1[[#This Row],[OrderDate]], "mmm")</f>
        <v>May</v>
      </c>
      <c r="N1064" t="str">
        <f>IF(Table1[[#This Row],[TotalSales]]&gt;50000,"High",IF(L1064&gt;20000,"Medium","Low"))</f>
        <v>High</v>
      </c>
      <c r="O1064">
        <f>Table1[[#This Row],[TotalSales]]/Table1[[#This Row],[Quantity]]</f>
        <v>49699.714999999997</v>
      </c>
    </row>
    <row r="1065" spans="1:15" x14ac:dyDescent="0.35">
      <c r="A1065" t="s">
        <v>1123</v>
      </c>
      <c r="B1065" s="1">
        <v>45609</v>
      </c>
      <c r="C1065" t="s">
        <v>13</v>
      </c>
      <c r="D1065" t="s">
        <v>37</v>
      </c>
      <c r="E1065" t="s">
        <v>28</v>
      </c>
      <c r="F1065" t="s">
        <v>125</v>
      </c>
      <c r="G1065" t="s">
        <v>83</v>
      </c>
      <c r="H1065">
        <v>10</v>
      </c>
      <c r="I1065">
        <v>50591.65</v>
      </c>
      <c r="J1065" s="2">
        <v>0.15</v>
      </c>
      <c r="K1065" t="s">
        <v>44</v>
      </c>
      <c r="L1065">
        <v>430029.02</v>
      </c>
      <c r="M1065" t="str">
        <f>TEXT(Table1[[#This Row],[OrderDate]], "mmm")</f>
        <v>Nov</v>
      </c>
      <c r="N1065" t="str">
        <f>IF(Table1[[#This Row],[TotalSales]]&gt;50000,"High",IF(L1065&gt;20000,"Medium","Low"))</f>
        <v>High</v>
      </c>
      <c r="O1065">
        <f>Table1[[#This Row],[TotalSales]]/Table1[[#This Row],[Quantity]]</f>
        <v>43002.902000000002</v>
      </c>
    </row>
    <row r="1066" spans="1:15" x14ac:dyDescent="0.35">
      <c r="A1066" t="s">
        <v>1124</v>
      </c>
      <c r="B1066" s="1">
        <v>45567</v>
      </c>
      <c r="C1066" t="s">
        <v>40</v>
      </c>
      <c r="D1066" t="s">
        <v>41</v>
      </c>
      <c r="E1066" t="s">
        <v>15</v>
      </c>
      <c r="F1066" t="s">
        <v>56</v>
      </c>
      <c r="G1066" t="s">
        <v>43</v>
      </c>
      <c r="H1066">
        <v>13</v>
      </c>
      <c r="I1066">
        <v>5570.77</v>
      </c>
      <c r="J1066" s="2">
        <v>0.15</v>
      </c>
      <c r="K1066" t="s">
        <v>25</v>
      </c>
      <c r="L1066">
        <v>61557.01</v>
      </c>
      <c r="M1066" t="str">
        <f>TEXT(Table1[[#This Row],[OrderDate]], "mmm")</f>
        <v>Oct</v>
      </c>
      <c r="N1066" t="str">
        <f>IF(Table1[[#This Row],[TotalSales]]&gt;50000,"High",IF(L1066&gt;20000,"Medium","Low"))</f>
        <v>High</v>
      </c>
      <c r="O1066">
        <f>Table1[[#This Row],[TotalSales]]/Table1[[#This Row],[Quantity]]</f>
        <v>4735.1546153846157</v>
      </c>
    </row>
    <row r="1067" spans="1:15" x14ac:dyDescent="0.35">
      <c r="A1067" t="s">
        <v>1125</v>
      </c>
      <c r="B1067" s="1">
        <v>45421</v>
      </c>
      <c r="C1067" t="s">
        <v>46</v>
      </c>
      <c r="D1067" t="s">
        <v>79</v>
      </c>
      <c r="E1067" t="s">
        <v>15</v>
      </c>
      <c r="F1067" t="s">
        <v>38</v>
      </c>
      <c r="G1067" t="s">
        <v>83</v>
      </c>
      <c r="H1067">
        <v>9</v>
      </c>
      <c r="I1067">
        <v>5244.28</v>
      </c>
      <c r="J1067" s="2">
        <v>0</v>
      </c>
      <c r="K1067" t="s">
        <v>18</v>
      </c>
      <c r="L1067">
        <v>47198.52</v>
      </c>
      <c r="M1067" t="str">
        <f>TEXT(Table1[[#This Row],[OrderDate]], "mmm")</f>
        <v>May</v>
      </c>
      <c r="N1067" t="str">
        <f>IF(Table1[[#This Row],[TotalSales]]&gt;50000,"High",IF(L1067&gt;20000,"Medium","Low"))</f>
        <v>Medium</v>
      </c>
      <c r="O1067">
        <f>Table1[[#This Row],[TotalSales]]/Table1[[#This Row],[Quantity]]</f>
        <v>5244.28</v>
      </c>
    </row>
    <row r="1068" spans="1:15" x14ac:dyDescent="0.35">
      <c r="A1068" t="s">
        <v>1126</v>
      </c>
      <c r="B1068" s="1">
        <v>45574</v>
      </c>
      <c r="C1068" t="s">
        <v>13</v>
      </c>
      <c r="D1068" t="s">
        <v>37</v>
      </c>
      <c r="E1068" t="s">
        <v>34</v>
      </c>
      <c r="F1068" t="s">
        <v>35</v>
      </c>
      <c r="G1068" t="s">
        <v>43</v>
      </c>
      <c r="H1068">
        <v>13</v>
      </c>
      <c r="I1068">
        <v>38781.4</v>
      </c>
      <c r="J1068" s="2">
        <v>0.05</v>
      </c>
      <c r="K1068" t="s">
        <v>25</v>
      </c>
      <c r="L1068">
        <v>478950.29</v>
      </c>
      <c r="M1068" t="str">
        <f>TEXT(Table1[[#This Row],[OrderDate]], "mmm")</f>
        <v>Oct</v>
      </c>
      <c r="N1068" t="str">
        <f>IF(Table1[[#This Row],[TotalSales]]&gt;50000,"High",IF(L1068&gt;20000,"Medium","Low"))</f>
        <v>High</v>
      </c>
      <c r="O1068">
        <f>Table1[[#This Row],[TotalSales]]/Table1[[#This Row],[Quantity]]</f>
        <v>36842.33</v>
      </c>
    </row>
    <row r="1069" spans="1:15" x14ac:dyDescent="0.35">
      <c r="A1069" t="s">
        <v>1127</v>
      </c>
      <c r="B1069" s="1">
        <v>45648</v>
      </c>
      <c r="C1069" t="s">
        <v>40</v>
      </c>
      <c r="D1069" t="s">
        <v>41</v>
      </c>
      <c r="E1069" t="s">
        <v>15</v>
      </c>
      <c r="F1069" t="s">
        <v>59</v>
      </c>
      <c r="G1069" t="s">
        <v>30</v>
      </c>
      <c r="H1069">
        <v>10</v>
      </c>
      <c r="I1069">
        <v>21472.16</v>
      </c>
      <c r="J1069" s="2">
        <v>0.1</v>
      </c>
      <c r="K1069" t="s">
        <v>18</v>
      </c>
      <c r="L1069">
        <v>193249.44</v>
      </c>
      <c r="M1069" t="str">
        <f>TEXT(Table1[[#This Row],[OrderDate]], "mmm")</f>
        <v>Dec</v>
      </c>
      <c r="N1069" t="str">
        <f>IF(Table1[[#This Row],[TotalSales]]&gt;50000,"High",IF(L1069&gt;20000,"Medium","Low"))</f>
        <v>High</v>
      </c>
      <c r="O1069">
        <f>Table1[[#This Row],[TotalSales]]/Table1[[#This Row],[Quantity]]</f>
        <v>19324.944</v>
      </c>
    </row>
    <row r="1070" spans="1:15" x14ac:dyDescent="0.35">
      <c r="A1070" t="s">
        <v>1128</v>
      </c>
      <c r="B1070" s="1">
        <v>45440</v>
      </c>
      <c r="C1070" t="s">
        <v>20</v>
      </c>
      <c r="D1070" t="s">
        <v>27</v>
      </c>
      <c r="E1070" t="s">
        <v>34</v>
      </c>
      <c r="F1070" t="s">
        <v>48</v>
      </c>
      <c r="G1070" t="s">
        <v>69</v>
      </c>
      <c r="H1070">
        <v>10</v>
      </c>
      <c r="I1070">
        <v>18361.580000000002</v>
      </c>
      <c r="J1070" s="2">
        <v>0</v>
      </c>
      <c r="K1070" t="s">
        <v>31</v>
      </c>
      <c r="L1070">
        <v>183615.8</v>
      </c>
      <c r="M1070" t="str">
        <f>TEXT(Table1[[#This Row],[OrderDate]], "mmm")</f>
        <v>May</v>
      </c>
      <c r="N1070" t="str">
        <f>IF(Table1[[#This Row],[TotalSales]]&gt;50000,"High",IF(L1070&gt;20000,"Medium","Low"))</f>
        <v>High</v>
      </c>
      <c r="O1070">
        <f>Table1[[#This Row],[TotalSales]]/Table1[[#This Row],[Quantity]]</f>
        <v>18361.579999999998</v>
      </c>
    </row>
    <row r="1071" spans="1:15" x14ac:dyDescent="0.35">
      <c r="A1071" t="s">
        <v>1129</v>
      </c>
      <c r="B1071" s="1">
        <v>45446</v>
      </c>
      <c r="C1071" t="s">
        <v>40</v>
      </c>
      <c r="D1071" t="s">
        <v>55</v>
      </c>
      <c r="E1071" t="s">
        <v>34</v>
      </c>
      <c r="F1071" t="s">
        <v>61</v>
      </c>
      <c r="G1071" t="s">
        <v>17</v>
      </c>
      <c r="H1071">
        <v>3</v>
      </c>
      <c r="I1071">
        <v>12443.56</v>
      </c>
      <c r="J1071" s="2">
        <v>0.2</v>
      </c>
      <c r="K1071" t="s">
        <v>31</v>
      </c>
      <c r="L1071">
        <v>29864.54</v>
      </c>
      <c r="M1071" t="str">
        <f>TEXT(Table1[[#This Row],[OrderDate]], "mmm")</f>
        <v>Jun</v>
      </c>
      <c r="N1071" t="str">
        <f>IF(Table1[[#This Row],[TotalSales]]&gt;50000,"High",IF(L1071&gt;20000,"Medium","Low"))</f>
        <v>Medium</v>
      </c>
      <c r="O1071">
        <f>Table1[[#This Row],[TotalSales]]/Table1[[#This Row],[Quantity]]</f>
        <v>9954.8466666666664</v>
      </c>
    </row>
    <row r="1072" spans="1:15" x14ac:dyDescent="0.35">
      <c r="A1072" t="s">
        <v>1130</v>
      </c>
      <c r="B1072" s="1">
        <v>45601</v>
      </c>
      <c r="C1072" t="s">
        <v>20</v>
      </c>
      <c r="D1072" t="s">
        <v>21</v>
      </c>
      <c r="E1072" t="s">
        <v>22</v>
      </c>
      <c r="F1072" t="s">
        <v>42</v>
      </c>
      <c r="G1072" t="s">
        <v>83</v>
      </c>
      <c r="H1072">
        <v>10</v>
      </c>
      <c r="I1072">
        <v>1497.57</v>
      </c>
      <c r="J1072" s="2">
        <v>0.05</v>
      </c>
      <c r="K1072" t="s">
        <v>31</v>
      </c>
      <c r="L1072">
        <v>14226.91</v>
      </c>
      <c r="M1072" t="str">
        <f>TEXT(Table1[[#This Row],[OrderDate]], "mmm")</f>
        <v>Nov</v>
      </c>
      <c r="N1072" t="str">
        <f>IF(Table1[[#This Row],[TotalSales]]&gt;50000,"High",IF(L1072&gt;20000,"Medium","Low"))</f>
        <v>Low</v>
      </c>
      <c r="O1072">
        <f>Table1[[#This Row],[TotalSales]]/Table1[[#This Row],[Quantity]]</f>
        <v>1422.691</v>
      </c>
    </row>
    <row r="1073" spans="1:15" x14ac:dyDescent="0.35">
      <c r="A1073" t="s">
        <v>1131</v>
      </c>
      <c r="B1073" s="1">
        <v>45515</v>
      </c>
      <c r="C1073" t="s">
        <v>46</v>
      </c>
      <c r="D1073" t="s">
        <v>79</v>
      </c>
      <c r="E1073" t="s">
        <v>34</v>
      </c>
      <c r="F1073" t="s">
        <v>88</v>
      </c>
      <c r="G1073" t="s">
        <v>66</v>
      </c>
      <c r="H1073">
        <v>9</v>
      </c>
      <c r="I1073">
        <v>38672.22</v>
      </c>
      <c r="J1073" s="2">
        <v>0</v>
      </c>
      <c r="K1073" t="s">
        <v>18</v>
      </c>
      <c r="L1073">
        <v>348049.98</v>
      </c>
      <c r="M1073" t="str">
        <f>TEXT(Table1[[#This Row],[OrderDate]], "mmm")</f>
        <v>Aug</v>
      </c>
      <c r="N1073" t="str">
        <f>IF(Table1[[#This Row],[TotalSales]]&gt;50000,"High",IF(L1073&gt;20000,"Medium","Low"))</f>
        <v>High</v>
      </c>
      <c r="O1073">
        <f>Table1[[#This Row],[TotalSales]]/Table1[[#This Row],[Quantity]]</f>
        <v>38672.22</v>
      </c>
    </row>
    <row r="1074" spans="1:15" x14ac:dyDescent="0.35">
      <c r="A1074" t="s">
        <v>1132</v>
      </c>
      <c r="B1074" s="1">
        <v>45336</v>
      </c>
      <c r="C1074" t="s">
        <v>46</v>
      </c>
      <c r="D1074" t="s">
        <v>47</v>
      </c>
      <c r="E1074" t="s">
        <v>22</v>
      </c>
      <c r="F1074" t="s">
        <v>23</v>
      </c>
      <c r="G1074" t="s">
        <v>17</v>
      </c>
      <c r="H1074">
        <v>10</v>
      </c>
      <c r="I1074">
        <v>10436.129999999999</v>
      </c>
      <c r="J1074" s="2">
        <v>0</v>
      </c>
      <c r="K1074" t="s">
        <v>18</v>
      </c>
      <c r="L1074">
        <v>104361.3</v>
      </c>
      <c r="M1074" t="str">
        <f>TEXT(Table1[[#This Row],[OrderDate]], "mmm")</f>
        <v>Feb</v>
      </c>
      <c r="N1074" t="str">
        <f>IF(Table1[[#This Row],[TotalSales]]&gt;50000,"High",IF(L1074&gt;20000,"Medium","Low"))</f>
        <v>High</v>
      </c>
      <c r="O1074">
        <f>Table1[[#This Row],[TotalSales]]/Table1[[#This Row],[Quantity]]</f>
        <v>10436.130000000001</v>
      </c>
    </row>
    <row r="1075" spans="1:15" x14ac:dyDescent="0.35">
      <c r="A1075" t="s">
        <v>1133</v>
      </c>
      <c r="B1075" s="1">
        <v>45395</v>
      </c>
      <c r="C1075" t="s">
        <v>46</v>
      </c>
      <c r="D1075" t="s">
        <v>47</v>
      </c>
      <c r="E1075" t="s">
        <v>34</v>
      </c>
      <c r="F1075" t="s">
        <v>35</v>
      </c>
      <c r="G1075" t="s">
        <v>17</v>
      </c>
      <c r="H1075">
        <v>3</v>
      </c>
      <c r="I1075">
        <v>16658.8</v>
      </c>
      <c r="J1075" s="2">
        <v>0.15</v>
      </c>
      <c r="K1075" t="s">
        <v>44</v>
      </c>
      <c r="L1075">
        <v>42479.94</v>
      </c>
      <c r="M1075" t="str">
        <f>TEXT(Table1[[#This Row],[OrderDate]], "mmm")</f>
        <v>Apr</v>
      </c>
      <c r="N1075" t="str">
        <f>IF(Table1[[#This Row],[TotalSales]]&gt;50000,"High",IF(L1075&gt;20000,"Medium","Low"))</f>
        <v>Medium</v>
      </c>
      <c r="O1075">
        <f>Table1[[#This Row],[TotalSales]]/Table1[[#This Row],[Quantity]]</f>
        <v>14159.980000000001</v>
      </c>
    </row>
    <row r="1076" spans="1:15" x14ac:dyDescent="0.35">
      <c r="A1076" t="s">
        <v>1134</v>
      </c>
      <c r="B1076" s="1">
        <v>45416</v>
      </c>
      <c r="C1076" t="s">
        <v>20</v>
      </c>
      <c r="D1076" t="s">
        <v>97</v>
      </c>
      <c r="E1076" t="s">
        <v>15</v>
      </c>
      <c r="F1076" t="s">
        <v>56</v>
      </c>
      <c r="G1076" t="s">
        <v>66</v>
      </c>
      <c r="H1076">
        <v>14</v>
      </c>
      <c r="I1076">
        <v>26525.33</v>
      </c>
      <c r="J1076" s="2">
        <v>0</v>
      </c>
      <c r="K1076" t="s">
        <v>31</v>
      </c>
      <c r="L1076">
        <v>371354.62</v>
      </c>
      <c r="M1076" t="str">
        <f>TEXT(Table1[[#This Row],[OrderDate]], "mmm")</f>
        <v>May</v>
      </c>
      <c r="N1076" t="str">
        <f>IF(Table1[[#This Row],[TotalSales]]&gt;50000,"High",IF(L1076&gt;20000,"Medium","Low"))</f>
        <v>High</v>
      </c>
      <c r="O1076">
        <f>Table1[[#This Row],[TotalSales]]/Table1[[#This Row],[Quantity]]</f>
        <v>26525.329999999998</v>
      </c>
    </row>
    <row r="1077" spans="1:15" x14ac:dyDescent="0.35">
      <c r="A1077" t="s">
        <v>1135</v>
      </c>
      <c r="B1077" s="1">
        <v>45536</v>
      </c>
      <c r="C1077" t="s">
        <v>20</v>
      </c>
      <c r="D1077" t="s">
        <v>27</v>
      </c>
      <c r="E1077" t="s">
        <v>22</v>
      </c>
      <c r="F1077" t="s">
        <v>42</v>
      </c>
      <c r="G1077" t="s">
        <v>83</v>
      </c>
      <c r="H1077">
        <v>9</v>
      </c>
      <c r="I1077">
        <v>54444.71</v>
      </c>
      <c r="J1077" s="2">
        <v>0</v>
      </c>
      <c r="K1077" t="s">
        <v>18</v>
      </c>
      <c r="L1077">
        <v>490002.39</v>
      </c>
      <c r="M1077" t="str">
        <f>TEXT(Table1[[#This Row],[OrderDate]], "mmm")</f>
        <v>Sep</v>
      </c>
      <c r="N1077" t="str">
        <f>IF(Table1[[#This Row],[TotalSales]]&gt;50000,"High",IF(L1077&gt;20000,"Medium","Low"))</f>
        <v>High</v>
      </c>
      <c r="O1077">
        <f>Table1[[#This Row],[TotalSales]]/Table1[[#This Row],[Quantity]]</f>
        <v>54444.71</v>
      </c>
    </row>
    <row r="1078" spans="1:15" x14ac:dyDescent="0.35">
      <c r="A1078" t="s">
        <v>1136</v>
      </c>
      <c r="B1078" s="1">
        <v>45313</v>
      </c>
      <c r="C1078" t="s">
        <v>46</v>
      </c>
      <c r="D1078" t="s">
        <v>79</v>
      </c>
      <c r="E1078" t="s">
        <v>28</v>
      </c>
      <c r="F1078" t="s">
        <v>104</v>
      </c>
      <c r="G1078" t="s">
        <v>69</v>
      </c>
      <c r="H1078">
        <v>14</v>
      </c>
      <c r="I1078">
        <v>17762.72</v>
      </c>
      <c r="J1078" s="2">
        <v>0.05</v>
      </c>
      <c r="K1078" t="s">
        <v>18</v>
      </c>
      <c r="L1078">
        <v>236244.18</v>
      </c>
      <c r="M1078" t="str">
        <f>TEXT(Table1[[#This Row],[OrderDate]], "mmm")</f>
        <v>Jan</v>
      </c>
      <c r="N1078" t="str">
        <f>IF(Table1[[#This Row],[TotalSales]]&gt;50000,"High",IF(L1078&gt;20000,"Medium","Low"))</f>
        <v>High</v>
      </c>
      <c r="O1078">
        <f>Table1[[#This Row],[TotalSales]]/Table1[[#This Row],[Quantity]]</f>
        <v>16874.584285714285</v>
      </c>
    </row>
    <row r="1079" spans="1:15" x14ac:dyDescent="0.35">
      <c r="A1079" t="s">
        <v>1137</v>
      </c>
      <c r="B1079" s="1">
        <v>45598</v>
      </c>
      <c r="C1079" t="s">
        <v>20</v>
      </c>
      <c r="D1079" t="s">
        <v>27</v>
      </c>
      <c r="E1079" t="s">
        <v>34</v>
      </c>
      <c r="F1079" t="s">
        <v>88</v>
      </c>
      <c r="G1079" t="s">
        <v>24</v>
      </c>
      <c r="H1079">
        <v>9</v>
      </c>
      <c r="I1079">
        <v>15962</v>
      </c>
      <c r="J1079" s="2">
        <v>0.2</v>
      </c>
      <c r="K1079" t="s">
        <v>31</v>
      </c>
      <c r="L1079">
        <v>114926.39999999999</v>
      </c>
      <c r="M1079" t="str">
        <f>TEXT(Table1[[#This Row],[OrderDate]], "mmm")</f>
        <v>Nov</v>
      </c>
      <c r="N1079" t="str">
        <f>IF(Table1[[#This Row],[TotalSales]]&gt;50000,"High",IF(L1079&gt;20000,"Medium","Low"))</f>
        <v>High</v>
      </c>
      <c r="O1079">
        <f>Table1[[#This Row],[TotalSales]]/Table1[[#This Row],[Quantity]]</f>
        <v>12769.599999999999</v>
      </c>
    </row>
    <row r="1080" spans="1:15" x14ac:dyDescent="0.35">
      <c r="A1080" t="s">
        <v>1138</v>
      </c>
      <c r="B1080" s="1">
        <v>45529</v>
      </c>
      <c r="C1080" t="s">
        <v>40</v>
      </c>
      <c r="D1080" t="s">
        <v>41</v>
      </c>
      <c r="E1080" t="s">
        <v>28</v>
      </c>
      <c r="F1080" t="s">
        <v>29</v>
      </c>
      <c r="G1080" t="s">
        <v>30</v>
      </c>
      <c r="H1080">
        <v>11</v>
      </c>
      <c r="I1080">
        <v>44413.26</v>
      </c>
      <c r="J1080" s="2">
        <v>0</v>
      </c>
      <c r="K1080" t="s">
        <v>25</v>
      </c>
      <c r="L1080">
        <v>488545.86</v>
      </c>
      <c r="M1080" t="str">
        <f>TEXT(Table1[[#This Row],[OrderDate]], "mmm")</f>
        <v>Aug</v>
      </c>
      <c r="N1080" t="str">
        <f>IF(Table1[[#This Row],[TotalSales]]&gt;50000,"High",IF(L1080&gt;20000,"Medium","Low"))</f>
        <v>High</v>
      </c>
      <c r="O1080">
        <f>Table1[[#This Row],[TotalSales]]/Table1[[#This Row],[Quantity]]</f>
        <v>44413.26</v>
      </c>
    </row>
    <row r="1081" spans="1:15" x14ac:dyDescent="0.35">
      <c r="A1081" t="s">
        <v>1139</v>
      </c>
      <c r="B1081" s="1">
        <v>45338</v>
      </c>
      <c r="C1081" t="s">
        <v>40</v>
      </c>
      <c r="D1081" t="s">
        <v>41</v>
      </c>
      <c r="E1081" t="s">
        <v>34</v>
      </c>
      <c r="F1081" t="s">
        <v>61</v>
      </c>
      <c r="G1081" t="s">
        <v>49</v>
      </c>
      <c r="H1081">
        <v>12</v>
      </c>
      <c r="I1081">
        <v>27034.22</v>
      </c>
      <c r="J1081" s="2">
        <v>0</v>
      </c>
      <c r="K1081" t="s">
        <v>44</v>
      </c>
      <c r="L1081">
        <v>324410.64</v>
      </c>
      <c r="M1081" t="str">
        <f>TEXT(Table1[[#This Row],[OrderDate]], "mmm")</f>
        <v>Feb</v>
      </c>
      <c r="N1081" t="str">
        <f>IF(Table1[[#This Row],[TotalSales]]&gt;50000,"High",IF(L1081&gt;20000,"Medium","Low"))</f>
        <v>High</v>
      </c>
      <c r="O1081">
        <f>Table1[[#This Row],[TotalSales]]/Table1[[#This Row],[Quantity]]</f>
        <v>27034.22</v>
      </c>
    </row>
    <row r="1082" spans="1:15" x14ac:dyDescent="0.35">
      <c r="A1082" t="s">
        <v>1140</v>
      </c>
      <c r="B1082" s="1">
        <v>45581</v>
      </c>
      <c r="C1082" t="s">
        <v>13</v>
      </c>
      <c r="D1082" t="s">
        <v>14</v>
      </c>
      <c r="E1082" t="s">
        <v>22</v>
      </c>
      <c r="F1082" t="s">
        <v>52</v>
      </c>
      <c r="G1082" t="s">
        <v>66</v>
      </c>
      <c r="H1082">
        <v>4</v>
      </c>
      <c r="I1082">
        <v>19298.52</v>
      </c>
      <c r="J1082" s="2">
        <v>0</v>
      </c>
      <c r="K1082" t="s">
        <v>18</v>
      </c>
      <c r="L1082">
        <v>77194.080000000002</v>
      </c>
      <c r="M1082" t="str">
        <f>TEXT(Table1[[#This Row],[OrderDate]], "mmm")</f>
        <v>Oct</v>
      </c>
      <c r="N1082" t="str">
        <f>IF(Table1[[#This Row],[TotalSales]]&gt;50000,"High",IF(L1082&gt;20000,"Medium","Low"))</f>
        <v>High</v>
      </c>
      <c r="O1082">
        <f>Table1[[#This Row],[TotalSales]]/Table1[[#This Row],[Quantity]]</f>
        <v>19298.52</v>
      </c>
    </row>
    <row r="1083" spans="1:15" x14ac:dyDescent="0.35">
      <c r="A1083" t="s">
        <v>1141</v>
      </c>
      <c r="B1083" s="1">
        <v>45643</v>
      </c>
      <c r="C1083" t="s">
        <v>20</v>
      </c>
      <c r="D1083" t="s">
        <v>21</v>
      </c>
      <c r="E1083" t="s">
        <v>22</v>
      </c>
      <c r="F1083" t="s">
        <v>52</v>
      </c>
      <c r="G1083" t="s">
        <v>49</v>
      </c>
      <c r="H1083">
        <v>6</v>
      </c>
      <c r="I1083">
        <v>39251.629999999997</v>
      </c>
      <c r="J1083" s="2">
        <v>0.1</v>
      </c>
      <c r="K1083" t="s">
        <v>18</v>
      </c>
      <c r="L1083">
        <v>211958.8</v>
      </c>
      <c r="M1083" t="str">
        <f>TEXT(Table1[[#This Row],[OrderDate]], "mmm")</f>
        <v>Dec</v>
      </c>
      <c r="N1083" t="str">
        <f>IF(Table1[[#This Row],[TotalSales]]&gt;50000,"High",IF(L1083&gt;20000,"Medium","Low"))</f>
        <v>High</v>
      </c>
      <c r="O1083">
        <f>Table1[[#This Row],[TotalSales]]/Table1[[#This Row],[Quantity]]</f>
        <v>35326.466666666667</v>
      </c>
    </row>
    <row r="1084" spans="1:15" x14ac:dyDescent="0.35">
      <c r="A1084" t="s">
        <v>1142</v>
      </c>
      <c r="B1084" s="1">
        <v>45546</v>
      </c>
      <c r="C1084" t="s">
        <v>20</v>
      </c>
      <c r="D1084" t="s">
        <v>21</v>
      </c>
      <c r="E1084" t="s">
        <v>22</v>
      </c>
      <c r="F1084" t="s">
        <v>52</v>
      </c>
      <c r="G1084" t="s">
        <v>49</v>
      </c>
      <c r="H1084">
        <v>6</v>
      </c>
      <c r="I1084">
        <v>13660.73</v>
      </c>
      <c r="J1084" s="2">
        <v>0.05</v>
      </c>
      <c r="K1084" t="s">
        <v>31</v>
      </c>
      <c r="L1084">
        <v>77866.16</v>
      </c>
      <c r="M1084" t="str">
        <f>TEXT(Table1[[#This Row],[OrderDate]], "mmm")</f>
        <v>Sep</v>
      </c>
      <c r="N1084" t="str">
        <f>IF(Table1[[#This Row],[TotalSales]]&gt;50000,"High",IF(L1084&gt;20000,"Medium","Low"))</f>
        <v>High</v>
      </c>
      <c r="O1084">
        <f>Table1[[#This Row],[TotalSales]]/Table1[[#This Row],[Quantity]]</f>
        <v>12977.693333333335</v>
      </c>
    </row>
    <row r="1085" spans="1:15" x14ac:dyDescent="0.35">
      <c r="A1085" t="s">
        <v>1143</v>
      </c>
      <c r="B1085" s="1">
        <v>45493</v>
      </c>
      <c r="C1085" t="s">
        <v>40</v>
      </c>
      <c r="D1085" t="s">
        <v>51</v>
      </c>
      <c r="E1085" t="s">
        <v>28</v>
      </c>
      <c r="F1085" t="s">
        <v>76</v>
      </c>
      <c r="G1085" t="s">
        <v>49</v>
      </c>
      <c r="H1085">
        <v>1</v>
      </c>
      <c r="I1085">
        <v>3846.74</v>
      </c>
      <c r="J1085" s="2">
        <v>0.2</v>
      </c>
      <c r="K1085" t="s">
        <v>25</v>
      </c>
      <c r="L1085">
        <v>3077.39</v>
      </c>
      <c r="M1085" t="str">
        <f>TEXT(Table1[[#This Row],[OrderDate]], "mmm")</f>
        <v>Jul</v>
      </c>
      <c r="N1085" t="str">
        <f>IF(Table1[[#This Row],[TotalSales]]&gt;50000,"High",IF(L1085&gt;20000,"Medium","Low"))</f>
        <v>Low</v>
      </c>
      <c r="O1085">
        <f>Table1[[#This Row],[TotalSales]]/Table1[[#This Row],[Quantity]]</f>
        <v>3077.39</v>
      </c>
    </row>
    <row r="1086" spans="1:15" x14ac:dyDescent="0.35">
      <c r="A1086" t="s">
        <v>1144</v>
      </c>
      <c r="B1086" s="1">
        <v>45613</v>
      </c>
      <c r="C1086" t="s">
        <v>46</v>
      </c>
      <c r="D1086" t="s">
        <v>79</v>
      </c>
      <c r="E1086" t="s">
        <v>22</v>
      </c>
      <c r="F1086" t="s">
        <v>52</v>
      </c>
      <c r="G1086" t="s">
        <v>43</v>
      </c>
      <c r="H1086">
        <v>8</v>
      </c>
      <c r="I1086">
        <v>32820.89</v>
      </c>
      <c r="J1086" s="2">
        <v>0.05</v>
      </c>
      <c r="K1086" t="s">
        <v>31</v>
      </c>
      <c r="L1086">
        <v>249438.76</v>
      </c>
      <c r="M1086" t="str">
        <f>TEXT(Table1[[#This Row],[OrderDate]], "mmm")</f>
        <v>Nov</v>
      </c>
      <c r="N1086" t="str">
        <f>IF(Table1[[#This Row],[TotalSales]]&gt;50000,"High",IF(L1086&gt;20000,"Medium","Low"))</f>
        <v>High</v>
      </c>
      <c r="O1086">
        <f>Table1[[#This Row],[TotalSales]]/Table1[[#This Row],[Quantity]]</f>
        <v>31179.845000000001</v>
      </c>
    </row>
    <row r="1087" spans="1:15" x14ac:dyDescent="0.35">
      <c r="A1087" t="s">
        <v>1145</v>
      </c>
      <c r="B1087" s="1">
        <v>45566</v>
      </c>
      <c r="C1087" t="s">
        <v>46</v>
      </c>
      <c r="D1087" t="s">
        <v>71</v>
      </c>
      <c r="E1087" t="s">
        <v>15</v>
      </c>
      <c r="F1087" t="s">
        <v>56</v>
      </c>
      <c r="G1087" t="s">
        <v>43</v>
      </c>
      <c r="H1087">
        <v>5</v>
      </c>
      <c r="I1087">
        <v>7182.73</v>
      </c>
      <c r="J1087" s="2">
        <v>0</v>
      </c>
      <c r="K1087" t="s">
        <v>31</v>
      </c>
      <c r="L1087">
        <v>35913.65</v>
      </c>
      <c r="M1087" t="str">
        <f>TEXT(Table1[[#This Row],[OrderDate]], "mmm")</f>
        <v>Oct</v>
      </c>
      <c r="N1087" t="str">
        <f>IF(Table1[[#This Row],[TotalSales]]&gt;50000,"High",IF(L1087&gt;20000,"Medium","Low"))</f>
        <v>Medium</v>
      </c>
      <c r="O1087">
        <f>Table1[[#This Row],[TotalSales]]/Table1[[#This Row],[Quantity]]</f>
        <v>7182.7300000000005</v>
      </c>
    </row>
    <row r="1088" spans="1:15" x14ac:dyDescent="0.35">
      <c r="A1088" t="s">
        <v>1146</v>
      </c>
      <c r="B1088" s="1">
        <v>45512</v>
      </c>
      <c r="C1088" t="s">
        <v>13</v>
      </c>
      <c r="D1088" t="s">
        <v>37</v>
      </c>
      <c r="E1088" t="s">
        <v>15</v>
      </c>
      <c r="F1088" t="s">
        <v>56</v>
      </c>
      <c r="G1088" t="s">
        <v>69</v>
      </c>
      <c r="H1088">
        <v>4</v>
      </c>
      <c r="I1088">
        <v>12830.76</v>
      </c>
      <c r="J1088" s="2">
        <v>0.1</v>
      </c>
      <c r="K1088" t="s">
        <v>18</v>
      </c>
      <c r="L1088">
        <v>46190.74</v>
      </c>
      <c r="M1088" t="str">
        <f>TEXT(Table1[[#This Row],[OrderDate]], "mmm")</f>
        <v>Aug</v>
      </c>
      <c r="N1088" t="str">
        <f>IF(Table1[[#This Row],[TotalSales]]&gt;50000,"High",IF(L1088&gt;20000,"Medium","Low"))</f>
        <v>Medium</v>
      </c>
      <c r="O1088">
        <f>Table1[[#This Row],[TotalSales]]/Table1[[#This Row],[Quantity]]</f>
        <v>11547.684999999999</v>
      </c>
    </row>
    <row r="1089" spans="1:15" x14ac:dyDescent="0.35">
      <c r="A1089" t="s">
        <v>1147</v>
      </c>
      <c r="B1089" s="1">
        <v>45488</v>
      </c>
      <c r="C1089" t="s">
        <v>20</v>
      </c>
      <c r="D1089" t="s">
        <v>27</v>
      </c>
      <c r="E1089" t="s">
        <v>15</v>
      </c>
      <c r="F1089" t="s">
        <v>56</v>
      </c>
      <c r="G1089" t="s">
        <v>49</v>
      </c>
      <c r="H1089">
        <v>4</v>
      </c>
      <c r="I1089">
        <v>29885.78</v>
      </c>
      <c r="J1089" s="2">
        <v>0</v>
      </c>
      <c r="K1089" t="s">
        <v>25</v>
      </c>
      <c r="L1089">
        <v>119543.12</v>
      </c>
      <c r="M1089" t="str">
        <f>TEXT(Table1[[#This Row],[OrderDate]], "mmm")</f>
        <v>Jul</v>
      </c>
      <c r="N1089" t="str">
        <f>IF(Table1[[#This Row],[TotalSales]]&gt;50000,"High",IF(L1089&gt;20000,"Medium","Low"))</f>
        <v>High</v>
      </c>
      <c r="O1089">
        <f>Table1[[#This Row],[TotalSales]]/Table1[[#This Row],[Quantity]]</f>
        <v>29885.78</v>
      </c>
    </row>
    <row r="1090" spans="1:15" x14ac:dyDescent="0.35">
      <c r="A1090" t="s">
        <v>1148</v>
      </c>
      <c r="B1090" s="1">
        <v>45405</v>
      </c>
      <c r="C1090" t="s">
        <v>20</v>
      </c>
      <c r="D1090" t="s">
        <v>97</v>
      </c>
      <c r="E1090" t="s">
        <v>15</v>
      </c>
      <c r="F1090" t="s">
        <v>16</v>
      </c>
      <c r="G1090" t="s">
        <v>49</v>
      </c>
      <c r="H1090">
        <v>4</v>
      </c>
      <c r="I1090">
        <v>25380.959999999999</v>
      </c>
      <c r="J1090" s="2">
        <v>0</v>
      </c>
      <c r="K1090" t="s">
        <v>25</v>
      </c>
      <c r="L1090">
        <f>(Table1[[#This Row],[Quantity]]*Table1[[#This Row],[UnitPrice]])-(Table1[[#This Row],[Quantity]]*Table1[[#This Row],[UnitPrice]])*Table1[[#This Row],[Discount%]]</f>
        <v>101523.84</v>
      </c>
      <c r="M1090" t="str">
        <f>TEXT(Table1[[#This Row],[OrderDate]], "mmm")</f>
        <v>Apr</v>
      </c>
      <c r="N1090" t="str">
        <f>IF(Table1[[#This Row],[TotalSales]]&gt;50000,"High",IF(L1090&gt;20000,"Medium","Low"))</f>
        <v>High</v>
      </c>
      <c r="O1090">
        <f>Table1[[#This Row],[TotalSales]]/Table1[[#This Row],[Quantity]]</f>
        <v>25380.959999999999</v>
      </c>
    </row>
    <row r="1091" spans="1:15" x14ac:dyDescent="0.35">
      <c r="A1091" t="s">
        <v>1149</v>
      </c>
      <c r="B1091" s="1">
        <v>45343</v>
      </c>
      <c r="C1091" t="s">
        <v>20</v>
      </c>
      <c r="D1091" t="s">
        <v>27</v>
      </c>
      <c r="E1091" t="s">
        <v>34</v>
      </c>
      <c r="F1091" t="s">
        <v>88</v>
      </c>
      <c r="G1091" t="s">
        <v>66</v>
      </c>
      <c r="H1091">
        <v>14</v>
      </c>
      <c r="I1091">
        <v>4693.4399999999996</v>
      </c>
      <c r="J1091" s="2">
        <v>0.15</v>
      </c>
      <c r="K1091" t="s">
        <v>31</v>
      </c>
      <c r="L1091">
        <v>55851.94</v>
      </c>
      <c r="M1091" t="str">
        <f>TEXT(Table1[[#This Row],[OrderDate]], "mmm")</f>
        <v>Feb</v>
      </c>
      <c r="N1091" t="str">
        <f>IF(Table1[[#This Row],[TotalSales]]&gt;50000,"High",IF(L1091&gt;20000,"Medium","Low"))</f>
        <v>High</v>
      </c>
      <c r="O1091">
        <f>Table1[[#This Row],[TotalSales]]/Table1[[#This Row],[Quantity]]</f>
        <v>3989.4242857142858</v>
      </c>
    </row>
    <row r="1092" spans="1:15" x14ac:dyDescent="0.35">
      <c r="A1092" t="s">
        <v>1150</v>
      </c>
      <c r="B1092" s="1">
        <v>45560</v>
      </c>
      <c r="C1092" t="s">
        <v>40</v>
      </c>
      <c r="D1092" t="s">
        <v>41</v>
      </c>
      <c r="E1092" t="s">
        <v>28</v>
      </c>
      <c r="F1092" t="s">
        <v>125</v>
      </c>
      <c r="G1092" t="s">
        <v>24</v>
      </c>
      <c r="H1092">
        <v>6</v>
      </c>
      <c r="I1092">
        <v>17849.98</v>
      </c>
      <c r="J1092" s="2">
        <v>0.05</v>
      </c>
      <c r="K1092" t="s">
        <v>31</v>
      </c>
      <c r="L1092">
        <v>101744.89</v>
      </c>
      <c r="M1092" t="str">
        <f>TEXT(Table1[[#This Row],[OrderDate]], "mmm")</f>
        <v>Sep</v>
      </c>
      <c r="N1092" t="str">
        <f>IF(Table1[[#This Row],[TotalSales]]&gt;50000,"High",IF(L1092&gt;20000,"Medium","Low"))</f>
        <v>High</v>
      </c>
      <c r="O1092">
        <f>Table1[[#This Row],[TotalSales]]/Table1[[#This Row],[Quantity]]</f>
        <v>16957.481666666667</v>
      </c>
    </row>
    <row r="1093" spans="1:15" x14ac:dyDescent="0.35">
      <c r="A1093" t="s">
        <v>1151</v>
      </c>
      <c r="B1093" s="1">
        <v>45403</v>
      </c>
      <c r="C1093" t="s">
        <v>40</v>
      </c>
      <c r="D1093" t="s">
        <v>55</v>
      </c>
      <c r="E1093" t="s">
        <v>34</v>
      </c>
      <c r="F1093" t="s">
        <v>61</v>
      </c>
      <c r="G1093" t="s">
        <v>30</v>
      </c>
      <c r="H1093">
        <v>6</v>
      </c>
      <c r="I1093">
        <v>19558.95</v>
      </c>
      <c r="J1093" s="2">
        <v>0</v>
      </c>
      <c r="K1093" t="s">
        <v>31</v>
      </c>
      <c r="L1093">
        <v>117353.7</v>
      </c>
      <c r="M1093" t="str">
        <f>TEXT(Table1[[#This Row],[OrderDate]], "mmm")</f>
        <v>Apr</v>
      </c>
      <c r="N1093" t="str">
        <f>IF(Table1[[#This Row],[TotalSales]]&gt;50000,"High",IF(L1093&gt;20000,"Medium","Low"))</f>
        <v>High</v>
      </c>
      <c r="O1093">
        <f>Table1[[#This Row],[TotalSales]]/Table1[[#This Row],[Quantity]]</f>
        <v>19558.95</v>
      </c>
    </row>
    <row r="1094" spans="1:15" x14ac:dyDescent="0.35">
      <c r="A1094" t="s">
        <v>1152</v>
      </c>
      <c r="B1094" s="1">
        <v>45303</v>
      </c>
      <c r="C1094" t="s">
        <v>40</v>
      </c>
      <c r="D1094" t="s">
        <v>51</v>
      </c>
      <c r="E1094" t="s">
        <v>22</v>
      </c>
      <c r="F1094" t="s">
        <v>23</v>
      </c>
      <c r="G1094" t="s">
        <v>17</v>
      </c>
      <c r="H1094">
        <v>7</v>
      </c>
      <c r="I1094">
        <v>31526.78</v>
      </c>
      <c r="J1094" s="2">
        <v>0</v>
      </c>
      <c r="K1094" t="s">
        <v>25</v>
      </c>
      <c r="L1094">
        <v>220687.46</v>
      </c>
      <c r="M1094" t="str">
        <f>TEXT(Table1[[#This Row],[OrderDate]], "mmm")</f>
        <v>Jan</v>
      </c>
      <c r="N1094" t="str">
        <f>IF(Table1[[#This Row],[TotalSales]]&gt;50000,"High",IF(L1094&gt;20000,"Medium","Low"))</f>
        <v>High</v>
      </c>
      <c r="O1094">
        <f>Table1[[#This Row],[TotalSales]]/Table1[[#This Row],[Quantity]]</f>
        <v>31526.78</v>
      </c>
    </row>
    <row r="1095" spans="1:15" x14ac:dyDescent="0.35">
      <c r="A1095" t="s">
        <v>1153</v>
      </c>
      <c r="B1095" s="1">
        <v>45479</v>
      </c>
      <c r="C1095" t="s">
        <v>20</v>
      </c>
      <c r="D1095" t="s">
        <v>97</v>
      </c>
      <c r="E1095" t="s">
        <v>28</v>
      </c>
      <c r="F1095" t="s">
        <v>29</v>
      </c>
      <c r="G1095" t="s">
        <v>69</v>
      </c>
      <c r="H1095">
        <v>15</v>
      </c>
      <c r="I1095">
        <v>54841.03</v>
      </c>
      <c r="J1095" s="2">
        <v>0.05</v>
      </c>
      <c r="K1095" t="s">
        <v>31</v>
      </c>
      <c r="L1095">
        <v>781484.68</v>
      </c>
      <c r="M1095" t="str">
        <f>TEXT(Table1[[#This Row],[OrderDate]], "mmm")</f>
        <v>Jul</v>
      </c>
      <c r="N1095" t="str">
        <f>IF(Table1[[#This Row],[TotalSales]]&gt;50000,"High",IF(L1095&gt;20000,"Medium","Low"))</f>
        <v>High</v>
      </c>
      <c r="O1095">
        <f>Table1[[#This Row],[TotalSales]]/Table1[[#This Row],[Quantity]]</f>
        <v>52098.97866666667</v>
      </c>
    </row>
    <row r="1096" spans="1:15" x14ac:dyDescent="0.35">
      <c r="A1096" t="s">
        <v>1154</v>
      </c>
      <c r="B1096" s="1">
        <v>45338</v>
      </c>
      <c r="C1096" t="s">
        <v>46</v>
      </c>
      <c r="D1096" t="s">
        <v>47</v>
      </c>
      <c r="E1096" t="s">
        <v>34</v>
      </c>
      <c r="F1096" t="s">
        <v>48</v>
      </c>
      <c r="G1096" t="s">
        <v>49</v>
      </c>
      <c r="H1096">
        <v>12</v>
      </c>
      <c r="I1096">
        <v>50388.58</v>
      </c>
      <c r="J1096" s="2">
        <v>0</v>
      </c>
      <c r="K1096" t="s">
        <v>25</v>
      </c>
      <c r="L1096">
        <v>604662.96</v>
      </c>
      <c r="M1096" t="str">
        <f>TEXT(Table1[[#This Row],[OrderDate]], "mmm")</f>
        <v>Feb</v>
      </c>
      <c r="N1096" t="str">
        <f>IF(Table1[[#This Row],[TotalSales]]&gt;50000,"High",IF(L1096&gt;20000,"Medium","Low"))</f>
        <v>High</v>
      </c>
      <c r="O1096">
        <f>Table1[[#This Row],[TotalSales]]/Table1[[#This Row],[Quantity]]</f>
        <v>50388.579999999994</v>
      </c>
    </row>
    <row r="1097" spans="1:15" x14ac:dyDescent="0.35">
      <c r="A1097" t="s">
        <v>1155</v>
      </c>
      <c r="B1097" s="1">
        <v>45434</v>
      </c>
      <c r="C1097" t="s">
        <v>20</v>
      </c>
      <c r="D1097" t="s">
        <v>97</v>
      </c>
      <c r="E1097" t="s">
        <v>22</v>
      </c>
      <c r="F1097" t="s">
        <v>52</v>
      </c>
      <c r="G1097" t="s">
        <v>43</v>
      </c>
      <c r="H1097">
        <v>14</v>
      </c>
      <c r="I1097">
        <v>50394.77</v>
      </c>
      <c r="J1097" s="2">
        <v>0</v>
      </c>
      <c r="K1097" t="s">
        <v>18</v>
      </c>
      <c r="L1097">
        <v>705526.78</v>
      </c>
      <c r="M1097" t="str">
        <f>TEXT(Table1[[#This Row],[OrderDate]], "mmm")</f>
        <v>May</v>
      </c>
      <c r="N1097" t="str">
        <f>IF(Table1[[#This Row],[TotalSales]]&gt;50000,"High",IF(L1097&gt;20000,"Medium","Low"))</f>
        <v>High</v>
      </c>
      <c r="O1097">
        <f>Table1[[#This Row],[TotalSales]]/Table1[[#This Row],[Quantity]]</f>
        <v>50394.770000000004</v>
      </c>
    </row>
    <row r="1098" spans="1:15" x14ac:dyDescent="0.35">
      <c r="A1098" t="s">
        <v>1156</v>
      </c>
      <c r="B1098" s="1">
        <v>45412</v>
      </c>
      <c r="C1098" t="s">
        <v>40</v>
      </c>
      <c r="D1098" t="s">
        <v>55</v>
      </c>
      <c r="E1098" t="s">
        <v>28</v>
      </c>
      <c r="F1098" t="s">
        <v>104</v>
      </c>
      <c r="G1098" t="s">
        <v>24</v>
      </c>
      <c r="H1098">
        <v>1</v>
      </c>
      <c r="I1098">
        <v>44463.53</v>
      </c>
      <c r="J1098" s="2">
        <v>0</v>
      </c>
      <c r="K1098" t="s">
        <v>31</v>
      </c>
      <c r="L1098">
        <v>44463.53</v>
      </c>
      <c r="M1098" t="str">
        <f>TEXT(Table1[[#This Row],[OrderDate]], "mmm")</f>
        <v>Apr</v>
      </c>
      <c r="N1098" t="str">
        <f>IF(Table1[[#This Row],[TotalSales]]&gt;50000,"High",IF(L1098&gt;20000,"Medium","Low"))</f>
        <v>Medium</v>
      </c>
      <c r="O1098">
        <f>Table1[[#This Row],[TotalSales]]/Table1[[#This Row],[Quantity]]</f>
        <v>44463.53</v>
      </c>
    </row>
    <row r="1099" spans="1:15" x14ac:dyDescent="0.35">
      <c r="A1099" t="s">
        <v>1157</v>
      </c>
      <c r="B1099" s="1">
        <v>45565</v>
      </c>
      <c r="C1099" t="s">
        <v>20</v>
      </c>
      <c r="D1099" t="s">
        <v>27</v>
      </c>
      <c r="E1099" t="s">
        <v>34</v>
      </c>
      <c r="F1099" t="s">
        <v>48</v>
      </c>
      <c r="G1099" t="s">
        <v>43</v>
      </c>
      <c r="H1099">
        <v>15</v>
      </c>
      <c r="I1099">
        <v>10437.01</v>
      </c>
      <c r="J1099" s="2">
        <v>0.2</v>
      </c>
      <c r="K1099" t="s">
        <v>31</v>
      </c>
      <c r="L1099">
        <v>125244.12</v>
      </c>
      <c r="M1099" t="str">
        <f>TEXT(Table1[[#This Row],[OrderDate]], "mmm")</f>
        <v>Sep</v>
      </c>
      <c r="N1099" t="str">
        <f>IF(Table1[[#This Row],[TotalSales]]&gt;50000,"High",IF(L1099&gt;20000,"Medium","Low"))</f>
        <v>High</v>
      </c>
      <c r="O1099">
        <f>Table1[[#This Row],[TotalSales]]/Table1[[#This Row],[Quantity]]</f>
        <v>8349.6080000000002</v>
      </c>
    </row>
    <row r="1100" spans="1:15" x14ac:dyDescent="0.35">
      <c r="A1100" t="s">
        <v>1158</v>
      </c>
      <c r="B1100" s="1">
        <v>45532</v>
      </c>
      <c r="C1100" t="s">
        <v>20</v>
      </c>
      <c r="D1100" t="s">
        <v>27</v>
      </c>
      <c r="E1100" t="s">
        <v>34</v>
      </c>
      <c r="F1100" t="s">
        <v>61</v>
      </c>
      <c r="G1100" t="s">
        <v>69</v>
      </c>
      <c r="H1100">
        <v>3</v>
      </c>
      <c r="I1100">
        <v>46590.23</v>
      </c>
      <c r="J1100" s="2">
        <v>0</v>
      </c>
      <c r="K1100" t="s">
        <v>25</v>
      </c>
      <c r="L1100">
        <v>139770.69</v>
      </c>
      <c r="M1100" t="str">
        <f>TEXT(Table1[[#This Row],[OrderDate]], "mmm")</f>
        <v>Aug</v>
      </c>
      <c r="N1100" t="str">
        <f>IF(Table1[[#This Row],[TotalSales]]&gt;50000,"High",IF(L1100&gt;20000,"Medium","Low"))</f>
        <v>High</v>
      </c>
      <c r="O1100">
        <f>Table1[[#This Row],[TotalSales]]/Table1[[#This Row],[Quantity]]</f>
        <v>46590.23</v>
      </c>
    </row>
    <row r="1101" spans="1:15" x14ac:dyDescent="0.35">
      <c r="A1101" t="s">
        <v>1159</v>
      </c>
      <c r="B1101" s="1">
        <v>45619</v>
      </c>
      <c r="C1101" t="s">
        <v>20</v>
      </c>
      <c r="D1101" t="s">
        <v>27</v>
      </c>
      <c r="E1101" t="s">
        <v>22</v>
      </c>
      <c r="F1101" t="s">
        <v>23</v>
      </c>
      <c r="G1101" t="s">
        <v>30</v>
      </c>
      <c r="H1101">
        <v>10</v>
      </c>
      <c r="I1101">
        <v>41547.35</v>
      </c>
      <c r="J1101" s="2">
        <v>0</v>
      </c>
      <c r="K1101" t="s">
        <v>25</v>
      </c>
      <c r="L1101">
        <v>415473.5</v>
      </c>
      <c r="M1101" t="str">
        <f>TEXT(Table1[[#This Row],[OrderDate]], "mmm")</f>
        <v>Nov</v>
      </c>
      <c r="N1101" t="str">
        <f>IF(Table1[[#This Row],[TotalSales]]&gt;50000,"High",IF(L1101&gt;20000,"Medium","Low"))</f>
        <v>High</v>
      </c>
      <c r="O1101">
        <f>Table1[[#This Row],[TotalSales]]/Table1[[#This Row],[Quantity]]</f>
        <v>41547.35</v>
      </c>
    </row>
    <row r="1102" spans="1:15" x14ac:dyDescent="0.35">
      <c r="A1102" t="s">
        <v>1160</v>
      </c>
      <c r="B1102" s="1">
        <v>45587</v>
      </c>
      <c r="C1102" t="s">
        <v>13</v>
      </c>
      <c r="D1102" t="s">
        <v>33</v>
      </c>
      <c r="E1102" t="s">
        <v>34</v>
      </c>
      <c r="F1102" t="s">
        <v>88</v>
      </c>
      <c r="G1102" t="s">
        <v>30</v>
      </c>
      <c r="H1102">
        <v>12</v>
      </c>
      <c r="I1102">
        <v>46102</v>
      </c>
      <c r="J1102" s="2">
        <v>0.05</v>
      </c>
      <c r="K1102" t="s">
        <v>18</v>
      </c>
      <c r="L1102">
        <v>525562.80000000005</v>
      </c>
      <c r="M1102" t="str">
        <f>TEXT(Table1[[#This Row],[OrderDate]], "mmm")</f>
        <v>Oct</v>
      </c>
      <c r="N1102" t="str">
        <f>IF(Table1[[#This Row],[TotalSales]]&gt;50000,"High",IF(L1102&gt;20000,"Medium","Low"))</f>
        <v>High</v>
      </c>
      <c r="O1102">
        <f>Table1[[#This Row],[TotalSales]]/Table1[[#This Row],[Quantity]]</f>
        <v>43796.9</v>
      </c>
    </row>
    <row r="1103" spans="1:15" x14ac:dyDescent="0.35">
      <c r="A1103" t="s">
        <v>1161</v>
      </c>
      <c r="B1103" s="1">
        <v>45480</v>
      </c>
      <c r="C1103" t="s">
        <v>46</v>
      </c>
      <c r="D1103" t="s">
        <v>71</v>
      </c>
      <c r="E1103" t="s">
        <v>15</v>
      </c>
      <c r="F1103" t="s">
        <v>59</v>
      </c>
      <c r="G1103" t="s">
        <v>30</v>
      </c>
      <c r="H1103">
        <v>14</v>
      </c>
      <c r="I1103">
        <v>16554.63</v>
      </c>
      <c r="J1103" s="2">
        <v>0.1</v>
      </c>
      <c r="K1103" t="s">
        <v>18</v>
      </c>
      <c r="L1103">
        <f>(Table1[[#This Row],[Quantity]]*Table1[[#This Row],[UnitPrice]])-(Table1[[#This Row],[Quantity]]*Table1[[#This Row],[UnitPrice]])*Table1[[#This Row],[Discount%]]</f>
        <v>208588.33799999999</v>
      </c>
      <c r="M1103" t="str">
        <f>TEXT(Table1[[#This Row],[OrderDate]], "mmm")</f>
        <v>Jul</v>
      </c>
      <c r="N1103" t="str">
        <f>IF(Table1[[#This Row],[TotalSales]]&gt;50000,"High",IF(L1103&gt;20000,"Medium","Low"))</f>
        <v>High</v>
      </c>
      <c r="O1103">
        <f>Table1[[#This Row],[TotalSales]]/Table1[[#This Row],[Quantity]]</f>
        <v>14899.166999999999</v>
      </c>
    </row>
    <row r="1104" spans="1:15" x14ac:dyDescent="0.35">
      <c r="A1104" t="s">
        <v>1162</v>
      </c>
      <c r="B1104" s="1">
        <v>45367</v>
      </c>
      <c r="C1104" t="s">
        <v>40</v>
      </c>
      <c r="D1104" t="s">
        <v>51</v>
      </c>
      <c r="E1104" t="s">
        <v>15</v>
      </c>
      <c r="F1104" t="s">
        <v>59</v>
      </c>
      <c r="G1104" t="s">
        <v>24</v>
      </c>
      <c r="H1104">
        <v>8</v>
      </c>
      <c r="I1104">
        <v>47612.81</v>
      </c>
      <c r="J1104" s="2">
        <v>0.2</v>
      </c>
      <c r="K1104" t="s">
        <v>31</v>
      </c>
      <c r="L1104">
        <v>304721.98</v>
      </c>
      <c r="M1104" t="str">
        <f>TEXT(Table1[[#This Row],[OrderDate]], "mmm")</f>
        <v>Mar</v>
      </c>
      <c r="N1104" t="str">
        <f>IF(Table1[[#This Row],[TotalSales]]&gt;50000,"High",IF(L1104&gt;20000,"Medium","Low"))</f>
        <v>High</v>
      </c>
      <c r="O1104">
        <f>Table1[[#This Row],[TotalSales]]/Table1[[#This Row],[Quantity]]</f>
        <v>38090.247499999998</v>
      </c>
    </row>
    <row r="1105" spans="1:15" x14ac:dyDescent="0.35">
      <c r="A1105" t="s">
        <v>1163</v>
      </c>
      <c r="B1105" s="1">
        <v>45496</v>
      </c>
      <c r="C1105" t="s">
        <v>13</v>
      </c>
      <c r="D1105" t="s">
        <v>37</v>
      </c>
      <c r="E1105" t="s">
        <v>22</v>
      </c>
      <c r="F1105" t="s">
        <v>82</v>
      </c>
      <c r="G1105" t="s">
        <v>24</v>
      </c>
      <c r="H1105">
        <v>8</v>
      </c>
      <c r="I1105">
        <v>39266.39</v>
      </c>
      <c r="J1105" s="2">
        <v>0</v>
      </c>
      <c r="K1105" t="s">
        <v>31</v>
      </c>
      <c r="L1105">
        <v>314131.12</v>
      </c>
      <c r="M1105" t="str">
        <f>TEXT(Table1[[#This Row],[OrderDate]], "mmm")</f>
        <v>Jul</v>
      </c>
      <c r="N1105" t="str">
        <f>IF(Table1[[#This Row],[TotalSales]]&gt;50000,"High",IF(L1105&gt;20000,"Medium","Low"))</f>
        <v>High</v>
      </c>
      <c r="O1105">
        <f>Table1[[#This Row],[TotalSales]]/Table1[[#This Row],[Quantity]]</f>
        <v>39266.39</v>
      </c>
    </row>
    <row r="1106" spans="1:15" x14ac:dyDescent="0.35">
      <c r="A1106" t="s">
        <v>1164</v>
      </c>
      <c r="B1106" s="1">
        <v>45530</v>
      </c>
      <c r="C1106" t="s">
        <v>46</v>
      </c>
      <c r="D1106" t="s">
        <v>79</v>
      </c>
      <c r="E1106" t="s">
        <v>28</v>
      </c>
      <c r="F1106" t="s">
        <v>29</v>
      </c>
      <c r="G1106" t="s">
        <v>30</v>
      </c>
      <c r="H1106">
        <v>15</v>
      </c>
      <c r="I1106">
        <v>21383.32</v>
      </c>
      <c r="J1106" s="2">
        <v>0.15</v>
      </c>
      <c r="K1106" t="s">
        <v>31</v>
      </c>
      <c r="L1106">
        <v>272637.33</v>
      </c>
      <c r="M1106" t="str">
        <f>TEXT(Table1[[#This Row],[OrderDate]], "mmm")</f>
        <v>Aug</v>
      </c>
      <c r="N1106" t="str">
        <f>IF(Table1[[#This Row],[TotalSales]]&gt;50000,"High",IF(L1106&gt;20000,"Medium","Low"))</f>
        <v>High</v>
      </c>
      <c r="O1106">
        <f>Table1[[#This Row],[TotalSales]]/Table1[[#This Row],[Quantity]]</f>
        <v>18175.822</v>
      </c>
    </row>
    <row r="1107" spans="1:15" x14ac:dyDescent="0.35">
      <c r="A1107" t="s">
        <v>1165</v>
      </c>
      <c r="B1107" s="1">
        <v>45391</v>
      </c>
      <c r="C1107" t="s">
        <v>13</v>
      </c>
      <c r="D1107" t="s">
        <v>37</v>
      </c>
      <c r="E1107" t="s">
        <v>34</v>
      </c>
      <c r="F1107" t="s">
        <v>35</v>
      </c>
      <c r="G1107" t="s">
        <v>43</v>
      </c>
      <c r="H1107">
        <v>5</v>
      </c>
      <c r="I1107">
        <v>50724.79</v>
      </c>
      <c r="J1107" s="2">
        <v>0</v>
      </c>
      <c r="K1107" t="s">
        <v>31</v>
      </c>
      <c r="L1107">
        <v>253623.95</v>
      </c>
      <c r="M1107" t="str">
        <f>TEXT(Table1[[#This Row],[OrderDate]], "mmm")</f>
        <v>Apr</v>
      </c>
      <c r="N1107" t="str">
        <f>IF(Table1[[#This Row],[TotalSales]]&gt;50000,"High",IF(L1107&gt;20000,"Medium","Low"))</f>
        <v>High</v>
      </c>
      <c r="O1107">
        <f>Table1[[#This Row],[TotalSales]]/Table1[[#This Row],[Quantity]]</f>
        <v>50724.79</v>
      </c>
    </row>
    <row r="1108" spans="1:15" x14ac:dyDescent="0.35">
      <c r="A1108" t="s">
        <v>1166</v>
      </c>
      <c r="B1108" s="1">
        <v>45498</v>
      </c>
      <c r="C1108" t="s">
        <v>46</v>
      </c>
      <c r="D1108" t="s">
        <v>79</v>
      </c>
      <c r="E1108" t="s">
        <v>22</v>
      </c>
      <c r="F1108" t="s">
        <v>52</v>
      </c>
      <c r="G1108" t="s">
        <v>17</v>
      </c>
      <c r="H1108">
        <v>6</v>
      </c>
      <c r="I1108">
        <v>43958.41</v>
      </c>
      <c r="J1108" s="2">
        <v>0.05</v>
      </c>
      <c r="K1108" t="s">
        <v>25</v>
      </c>
      <c r="L1108">
        <v>250562.94</v>
      </c>
      <c r="M1108" t="str">
        <f>TEXT(Table1[[#This Row],[OrderDate]], "mmm")</f>
        <v>Jul</v>
      </c>
      <c r="N1108" t="str">
        <f>IF(Table1[[#This Row],[TotalSales]]&gt;50000,"High",IF(L1108&gt;20000,"Medium","Low"))</f>
        <v>High</v>
      </c>
      <c r="O1108">
        <f>Table1[[#This Row],[TotalSales]]/Table1[[#This Row],[Quantity]]</f>
        <v>41760.49</v>
      </c>
    </row>
    <row r="1109" spans="1:15" x14ac:dyDescent="0.35">
      <c r="A1109" t="s">
        <v>1167</v>
      </c>
      <c r="B1109" s="1">
        <v>45572</v>
      </c>
      <c r="C1109" t="s">
        <v>46</v>
      </c>
      <c r="D1109" t="s">
        <v>71</v>
      </c>
      <c r="E1109" t="s">
        <v>34</v>
      </c>
      <c r="F1109" t="s">
        <v>88</v>
      </c>
      <c r="G1109" t="s">
        <v>30</v>
      </c>
      <c r="H1109">
        <v>12</v>
      </c>
      <c r="I1109">
        <v>41241.769999999997</v>
      </c>
      <c r="J1109" s="2">
        <v>0.1</v>
      </c>
      <c r="K1109" t="s">
        <v>44</v>
      </c>
      <c r="L1109">
        <v>445411.12</v>
      </c>
      <c r="M1109" t="str">
        <f>TEXT(Table1[[#This Row],[OrderDate]], "mmm")</f>
        <v>Oct</v>
      </c>
      <c r="N1109" t="str">
        <f>IF(Table1[[#This Row],[TotalSales]]&gt;50000,"High",IF(L1109&gt;20000,"Medium","Low"))</f>
        <v>High</v>
      </c>
      <c r="O1109">
        <f>Table1[[#This Row],[TotalSales]]/Table1[[#This Row],[Quantity]]</f>
        <v>37117.593333333331</v>
      </c>
    </row>
    <row r="1110" spans="1:15" x14ac:dyDescent="0.35">
      <c r="A1110" t="s">
        <v>1168</v>
      </c>
      <c r="B1110" s="1">
        <v>45607</v>
      </c>
      <c r="C1110" t="s">
        <v>20</v>
      </c>
      <c r="D1110" t="s">
        <v>27</v>
      </c>
      <c r="E1110" t="s">
        <v>22</v>
      </c>
      <c r="F1110" t="s">
        <v>42</v>
      </c>
      <c r="G1110" t="s">
        <v>69</v>
      </c>
      <c r="H1110">
        <v>7</v>
      </c>
      <c r="I1110">
        <v>15311.64</v>
      </c>
      <c r="J1110" s="2">
        <v>0</v>
      </c>
      <c r="K1110" t="s">
        <v>25</v>
      </c>
      <c r="L1110">
        <v>107181.48</v>
      </c>
      <c r="M1110" t="str">
        <f>TEXT(Table1[[#This Row],[OrderDate]], "mmm")</f>
        <v>Nov</v>
      </c>
      <c r="N1110" t="str">
        <f>IF(Table1[[#This Row],[TotalSales]]&gt;50000,"High",IF(L1110&gt;20000,"Medium","Low"))</f>
        <v>High</v>
      </c>
      <c r="O1110">
        <f>Table1[[#This Row],[TotalSales]]/Table1[[#This Row],[Quantity]]</f>
        <v>15311.64</v>
      </c>
    </row>
    <row r="1111" spans="1:15" x14ac:dyDescent="0.35">
      <c r="A1111" t="s">
        <v>1169</v>
      </c>
      <c r="B1111" s="1">
        <v>45292</v>
      </c>
      <c r="C1111" t="s">
        <v>13</v>
      </c>
      <c r="D1111" t="s">
        <v>14</v>
      </c>
      <c r="E1111" t="s">
        <v>22</v>
      </c>
      <c r="F1111" t="s">
        <v>82</v>
      </c>
      <c r="G1111" t="s">
        <v>24</v>
      </c>
      <c r="H1111">
        <v>2</v>
      </c>
      <c r="I1111">
        <v>9153.85</v>
      </c>
      <c r="J1111" s="2">
        <v>0</v>
      </c>
      <c r="K1111" t="s">
        <v>25</v>
      </c>
      <c r="L1111">
        <v>18307.7</v>
      </c>
      <c r="M1111" t="str">
        <f>TEXT(Table1[[#This Row],[OrderDate]], "mmm")</f>
        <v>Jan</v>
      </c>
      <c r="N1111" t="str">
        <f>IF(Table1[[#This Row],[TotalSales]]&gt;50000,"High",IF(L1111&gt;20000,"Medium","Low"))</f>
        <v>Low</v>
      </c>
      <c r="O1111">
        <f>Table1[[#This Row],[TotalSales]]/Table1[[#This Row],[Quantity]]</f>
        <v>9153.85</v>
      </c>
    </row>
    <row r="1112" spans="1:15" x14ac:dyDescent="0.35">
      <c r="A1112" t="s">
        <v>1170</v>
      </c>
      <c r="B1112" s="1">
        <v>45607</v>
      </c>
      <c r="C1112" t="s">
        <v>40</v>
      </c>
      <c r="D1112" t="s">
        <v>41</v>
      </c>
      <c r="E1112" t="s">
        <v>15</v>
      </c>
      <c r="F1112" t="s">
        <v>16</v>
      </c>
      <c r="G1112" t="s">
        <v>83</v>
      </c>
      <c r="H1112">
        <v>12</v>
      </c>
      <c r="I1112">
        <v>53874.31</v>
      </c>
      <c r="J1112" s="2">
        <v>0.2</v>
      </c>
      <c r="K1112" t="s">
        <v>44</v>
      </c>
      <c r="L1112">
        <v>517193.38</v>
      </c>
      <c r="M1112" t="str">
        <f>TEXT(Table1[[#This Row],[OrderDate]], "mmm")</f>
        <v>Nov</v>
      </c>
      <c r="N1112" t="str">
        <f>IF(Table1[[#This Row],[TotalSales]]&gt;50000,"High",IF(L1112&gt;20000,"Medium","Low"))</f>
        <v>High</v>
      </c>
      <c r="O1112">
        <f>Table1[[#This Row],[TotalSales]]/Table1[[#This Row],[Quantity]]</f>
        <v>43099.448333333334</v>
      </c>
    </row>
    <row r="1113" spans="1:15" x14ac:dyDescent="0.35">
      <c r="A1113" t="s">
        <v>1171</v>
      </c>
      <c r="B1113" s="1">
        <v>45303</v>
      </c>
      <c r="C1113" t="s">
        <v>20</v>
      </c>
      <c r="D1113" t="s">
        <v>27</v>
      </c>
      <c r="E1113" t="s">
        <v>22</v>
      </c>
      <c r="F1113" t="s">
        <v>52</v>
      </c>
      <c r="G1113" t="s">
        <v>43</v>
      </c>
      <c r="H1113">
        <v>7</v>
      </c>
      <c r="I1113">
        <v>26690.1</v>
      </c>
      <c r="J1113" s="2">
        <v>0</v>
      </c>
      <c r="K1113" t="s">
        <v>44</v>
      </c>
      <c r="L1113">
        <v>186830.7</v>
      </c>
      <c r="M1113" t="str">
        <f>TEXT(Table1[[#This Row],[OrderDate]], "mmm")</f>
        <v>Jan</v>
      </c>
      <c r="N1113" t="str">
        <f>IF(Table1[[#This Row],[TotalSales]]&gt;50000,"High",IF(L1113&gt;20000,"Medium","Low"))</f>
        <v>High</v>
      </c>
      <c r="O1113">
        <f>Table1[[#This Row],[TotalSales]]/Table1[[#This Row],[Quantity]]</f>
        <v>26690.100000000002</v>
      </c>
    </row>
    <row r="1114" spans="1:15" x14ac:dyDescent="0.35">
      <c r="A1114" t="s">
        <v>1172</v>
      </c>
      <c r="B1114" s="1">
        <v>45406</v>
      </c>
      <c r="C1114" t="s">
        <v>20</v>
      </c>
      <c r="D1114" t="s">
        <v>21</v>
      </c>
      <c r="E1114" t="s">
        <v>28</v>
      </c>
      <c r="F1114" t="s">
        <v>76</v>
      </c>
      <c r="G1114" t="s">
        <v>83</v>
      </c>
      <c r="H1114">
        <v>14</v>
      </c>
      <c r="I1114">
        <v>43134.51</v>
      </c>
      <c r="J1114" s="2">
        <v>0</v>
      </c>
      <c r="K1114" t="s">
        <v>25</v>
      </c>
      <c r="L1114">
        <v>603883.14</v>
      </c>
      <c r="M1114" t="str">
        <f>TEXT(Table1[[#This Row],[OrderDate]], "mmm")</f>
        <v>Apr</v>
      </c>
      <c r="N1114" t="str">
        <f>IF(Table1[[#This Row],[TotalSales]]&gt;50000,"High",IF(L1114&gt;20000,"Medium","Low"))</f>
        <v>High</v>
      </c>
      <c r="O1114">
        <f>Table1[[#This Row],[TotalSales]]/Table1[[#This Row],[Quantity]]</f>
        <v>43134.51</v>
      </c>
    </row>
    <row r="1115" spans="1:15" x14ac:dyDescent="0.35">
      <c r="A1115" t="s">
        <v>1173</v>
      </c>
      <c r="B1115" s="1">
        <v>45333</v>
      </c>
      <c r="C1115" t="s">
        <v>13</v>
      </c>
      <c r="D1115" t="s">
        <v>37</v>
      </c>
      <c r="E1115" t="s">
        <v>34</v>
      </c>
      <c r="F1115" t="s">
        <v>88</v>
      </c>
      <c r="G1115" t="s">
        <v>43</v>
      </c>
      <c r="H1115">
        <v>4</v>
      </c>
      <c r="I1115">
        <v>9102.01</v>
      </c>
      <c r="J1115" s="2">
        <v>0.05</v>
      </c>
      <c r="K1115" t="s">
        <v>25</v>
      </c>
      <c r="L1115">
        <v>34587.64</v>
      </c>
      <c r="M1115" t="str">
        <f>TEXT(Table1[[#This Row],[OrderDate]], "mmm")</f>
        <v>Feb</v>
      </c>
      <c r="N1115" t="str">
        <f>IF(Table1[[#This Row],[TotalSales]]&gt;50000,"High",IF(L1115&gt;20000,"Medium","Low"))</f>
        <v>Medium</v>
      </c>
      <c r="O1115">
        <f>Table1[[#This Row],[TotalSales]]/Table1[[#This Row],[Quantity]]</f>
        <v>8646.91</v>
      </c>
    </row>
    <row r="1116" spans="1:15" x14ac:dyDescent="0.35">
      <c r="A1116" t="s">
        <v>1174</v>
      </c>
      <c r="B1116" s="1">
        <v>45534</v>
      </c>
      <c r="C1116" t="s">
        <v>20</v>
      </c>
      <c r="D1116" t="s">
        <v>97</v>
      </c>
      <c r="E1116" t="s">
        <v>34</v>
      </c>
      <c r="F1116" t="s">
        <v>88</v>
      </c>
      <c r="G1116" t="s">
        <v>66</v>
      </c>
      <c r="H1116">
        <v>1</v>
      </c>
      <c r="I1116">
        <v>18491.46</v>
      </c>
      <c r="J1116" s="2">
        <v>0</v>
      </c>
      <c r="K1116" t="s">
        <v>18</v>
      </c>
      <c r="L1116">
        <v>18491.46</v>
      </c>
      <c r="M1116" t="str">
        <f>TEXT(Table1[[#This Row],[OrderDate]], "mmm")</f>
        <v>Aug</v>
      </c>
      <c r="N1116" t="str">
        <f>IF(Table1[[#This Row],[TotalSales]]&gt;50000,"High",IF(L1116&gt;20000,"Medium","Low"))</f>
        <v>Low</v>
      </c>
      <c r="O1116">
        <f>Table1[[#This Row],[TotalSales]]/Table1[[#This Row],[Quantity]]</f>
        <v>18491.46</v>
      </c>
    </row>
    <row r="1117" spans="1:15" x14ac:dyDescent="0.35">
      <c r="A1117" t="s">
        <v>1175</v>
      </c>
      <c r="B1117" s="1">
        <v>45416</v>
      </c>
      <c r="C1117" t="s">
        <v>20</v>
      </c>
      <c r="D1117" t="s">
        <v>97</v>
      </c>
      <c r="E1117" t="s">
        <v>34</v>
      </c>
      <c r="F1117" t="s">
        <v>88</v>
      </c>
      <c r="G1117" t="s">
        <v>17</v>
      </c>
      <c r="H1117">
        <v>10</v>
      </c>
      <c r="I1117">
        <v>44288.22</v>
      </c>
      <c r="J1117" s="2">
        <v>0</v>
      </c>
      <c r="K1117" t="s">
        <v>31</v>
      </c>
      <c r="L1117">
        <v>442882.2</v>
      </c>
      <c r="M1117" t="str">
        <f>TEXT(Table1[[#This Row],[OrderDate]], "mmm")</f>
        <v>May</v>
      </c>
      <c r="N1117" t="str">
        <f>IF(Table1[[#This Row],[TotalSales]]&gt;50000,"High",IF(L1117&gt;20000,"Medium","Low"))</f>
        <v>High</v>
      </c>
      <c r="O1117">
        <f>Table1[[#This Row],[TotalSales]]/Table1[[#This Row],[Quantity]]</f>
        <v>44288.22</v>
      </c>
    </row>
    <row r="1118" spans="1:15" x14ac:dyDescent="0.35">
      <c r="A1118" t="s">
        <v>1176</v>
      </c>
      <c r="B1118" s="1">
        <v>45339</v>
      </c>
      <c r="C1118" t="s">
        <v>40</v>
      </c>
      <c r="D1118" t="s">
        <v>41</v>
      </c>
      <c r="E1118" t="s">
        <v>15</v>
      </c>
      <c r="F1118" t="s">
        <v>59</v>
      </c>
      <c r="G1118" t="s">
        <v>43</v>
      </c>
      <c r="H1118">
        <v>15</v>
      </c>
      <c r="I1118">
        <v>53359.3</v>
      </c>
      <c r="J1118" s="2">
        <v>0.2</v>
      </c>
      <c r="K1118" t="s">
        <v>18</v>
      </c>
      <c r="L1118">
        <v>640311.6</v>
      </c>
      <c r="M1118" t="str">
        <f>TEXT(Table1[[#This Row],[OrderDate]], "mmm")</f>
        <v>Feb</v>
      </c>
      <c r="N1118" t="str">
        <f>IF(Table1[[#This Row],[TotalSales]]&gt;50000,"High",IF(L1118&gt;20000,"Medium","Low"))</f>
        <v>High</v>
      </c>
      <c r="O1118">
        <f>Table1[[#This Row],[TotalSales]]/Table1[[#This Row],[Quantity]]</f>
        <v>42687.439999999995</v>
      </c>
    </row>
    <row r="1119" spans="1:15" x14ac:dyDescent="0.35">
      <c r="A1119" t="s">
        <v>1177</v>
      </c>
      <c r="B1119" s="1">
        <v>45584</v>
      </c>
      <c r="C1119" t="s">
        <v>13</v>
      </c>
      <c r="D1119" t="s">
        <v>33</v>
      </c>
      <c r="E1119" t="s">
        <v>28</v>
      </c>
      <c r="F1119" t="s">
        <v>29</v>
      </c>
      <c r="G1119" t="s">
        <v>43</v>
      </c>
      <c r="H1119">
        <v>2</v>
      </c>
      <c r="I1119">
        <v>2415.5500000000002</v>
      </c>
      <c r="J1119" s="2">
        <v>0</v>
      </c>
      <c r="K1119" t="s">
        <v>18</v>
      </c>
      <c r="L1119">
        <v>4831.1000000000004</v>
      </c>
      <c r="M1119" t="str">
        <f>TEXT(Table1[[#This Row],[OrderDate]], "mmm")</f>
        <v>Oct</v>
      </c>
      <c r="N1119" t="str">
        <f>IF(Table1[[#This Row],[TotalSales]]&gt;50000,"High",IF(L1119&gt;20000,"Medium","Low"))</f>
        <v>Low</v>
      </c>
      <c r="O1119">
        <f>Table1[[#This Row],[TotalSales]]/Table1[[#This Row],[Quantity]]</f>
        <v>2415.5500000000002</v>
      </c>
    </row>
    <row r="1120" spans="1:15" x14ac:dyDescent="0.35">
      <c r="A1120" t="s">
        <v>1178</v>
      </c>
      <c r="B1120" s="1">
        <v>45428</v>
      </c>
      <c r="C1120" t="s">
        <v>40</v>
      </c>
      <c r="D1120" t="s">
        <v>55</v>
      </c>
      <c r="E1120" t="s">
        <v>22</v>
      </c>
      <c r="F1120" t="s">
        <v>82</v>
      </c>
      <c r="G1120" t="s">
        <v>49</v>
      </c>
      <c r="H1120">
        <v>10</v>
      </c>
      <c r="I1120">
        <v>16170.28</v>
      </c>
      <c r="J1120" s="2">
        <v>0.2</v>
      </c>
      <c r="K1120" t="s">
        <v>18</v>
      </c>
      <c r="L1120">
        <v>129362.24000000001</v>
      </c>
      <c r="M1120" t="str">
        <f>TEXT(Table1[[#This Row],[OrderDate]], "mmm")</f>
        <v>May</v>
      </c>
      <c r="N1120" t="str">
        <f>IF(Table1[[#This Row],[TotalSales]]&gt;50000,"High",IF(L1120&gt;20000,"Medium","Low"))</f>
        <v>High</v>
      </c>
      <c r="O1120">
        <f>Table1[[#This Row],[TotalSales]]/Table1[[#This Row],[Quantity]]</f>
        <v>12936.224</v>
      </c>
    </row>
    <row r="1121" spans="1:15" x14ac:dyDescent="0.35">
      <c r="A1121" t="s">
        <v>1179</v>
      </c>
      <c r="B1121" s="1">
        <v>45437</v>
      </c>
      <c r="C1121" t="s">
        <v>20</v>
      </c>
      <c r="D1121" t="s">
        <v>21</v>
      </c>
      <c r="E1121" t="s">
        <v>15</v>
      </c>
      <c r="F1121" t="s">
        <v>38</v>
      </c>
      <c r="G1121" t="s">
        <v>49</v>
      </c>
      <c r="H1121">
        <v>1</v>
      </c>
      <c r="I1121">
        <v>21757.96</v>
      </c>
      <c r="J1121" s="2">
        <v>0</v>
      </c>
      <c r="K1121" t="s">
        <v>44</v>
      </c>
      <c r="L1121">
        <v>21757.96</v>
      </c>
      <c r="M1121" t="str">
        <f>TEXT(Table1[[#This Row],[OrderDate]], "mmm")</f>
        <v>May</v>
      </c>
      <c r="N1121" t="str">
        <f>IF(Table1[[#This Row],[TotalSales]]&gt;50000,"High",IF(L1121&gt;20000,"Medium","Low"))</f>
        <v>Medium</v>
      </c>
      <c r="O1121">
        <f>Table1[[#This Row],[TotalSales]]/Table1[[#This Row],[Quantity]]</f>
        <v>21757.96</v>
      </c>
    </row>
    <row r="1122" spans="1:15" x14ac:dyDescent="0.35">
      <c r="A1122" t="s">
        <v>1180</v>
      </c>
      <c r="B1122" s="1">
        <v>45633</v>
      </c>
      <c r="C1122" t="s">
        <v>20</v>
      </c>
      <c r="D1122" t="s">
        <v>97</v>
      </c>
      <c r="E1122" t="s">
        <v>34</v>
      </c>
      <c r="F1122" t="s">
        <v>88</v>
      </c>
      <c r="G1122" t="s">
        <v>17</v>
      </c>
      <c r="H1122">
        <v>6</v>
      </c>
      <c r="I1122">
        <v>11737.99</v>
      </c>
      <c r="J1122" s="2">
        <v>0.05</v>
      </c>
      <c r="K1122" t="s">
        <v>18</v>
      </c>
      <c r="L1122">
        <v>66906.539999999994</v>
      </c>
      <c r="M1122" t="str">
        <f>TEXT(Table1[[#This Row],[OrderDate]], "mmm")</f>
        <v>Dec</v>
      </c>
      <c r="N1122" t="str">
        <f>IF(Table1[[#This Row],[TotalSales]]&gt;50000,"High",IF(L1122&gt;20000,"Medium","Low"))</f>
        <v>High</v>
      </c>
      <c r="O1122">
        <f>Table1[[#This Row],[TotalSales]]/Table1[[#This Row],[Quantity]]</f>
        <v>11151.089999999998</v>
      </c>
    </row>
    <row r="1123" spans="1:15" x14ac:dyDescent="0.35">
      <c r="A1123" t="s">
        <v>1181</v>
      </c>
      <c r="B1123" s="1">
        <v>45329</v>
      </c>
      <c r="C1123" t="s">
        <v>20</v>
      </c>
      <c r="D1123" t="s">
        <v>27</v>
      </c>
      <c r="E1123" t="s">
        <v>15</v>
      </c>
      <c r="F1123" t="s">
        <v>38</v>
      </c>
      <c r="G1123" t="s">
        <v>49</v>
      </c>
      <c r="H1123">
        <v>5</v>
      </c>
      <c r="I1123">
        <v>42416.1</v>
      </c>
      <c r="J1123" s="2">
        <v>0.15</v>
      </c>
      <c r="K1123" t="s">
        <v>18</v>
      </c>
      <c r="L1123">
        <v>180268.42</v>
      </c>
      <c r="M1123" t="str">
        <f>TEXT(Table1[[#This Row],[OrderDate]], "mmm")</f>
        <v>Feb</v>
      </c>
      <c r="N1123" t="str">
        <f>IF(Table1[[#This Row],[TotalSales]]&gt;50000,"High",IF(L1123&gt;20000,"Medium","Low"))</f>
        <v>High</v>
      </c>
      <c r="O1123">
        <f>Table1[[#This Row],[TotalSales]]/Table1[[#This Row],[Quantity]]</f>
        <v>36053.684000000001</v>
      </c>
    </row>
    <row r="1124" spans="1:15" x14ac:dyDescent="0.35">
      <c r="A1124" t="s">
        <v>1182</v>
      </c>
      <c r="B1124" s="1">
        <v>45492</v>
      </c>
      <c r="C1124" t="s">
        <v>13</v>
      </c>
      <c r="D1124" t="s">
        <v>14</v>
      </c>
      <c r="E1124" t="s">
        <v>34</v>
      </c>
      <c r="F1124" t="s">
        <v>35</v>
      </c>
      <c r="G1124" t="s">
        <v>30</v>
      </c>
      <c r="H1124">
        <v>4</v>
      </c>
      <c r="I1124">
        <v>19110.689999999999</v>
      </c>
      <c r="J1124" s="2">
        <v>0</v>
      </c>
      <c r="K1124" t="s">
        <v>25</v>
      </c>
      <c r="L1124">
        <v>76442.759999999995</v>
      </c>
      <c r="M1124" t="str">
        <f>TEXT(Table1[[#This Row],[OrderDate]], "mmm")</f>
        <v>Jul</v>
      </c>
      <c r="N1124" t="str">
        <f>IF(Table1[[#This Row],[TotalSales]]&gt;50000,"High",IF(L1124&gt;20000,"Medium","Low"))</f>
        <v>High</v>
      </c>
      <c r="O1124">
        <f>Table1[[#This Row],[TotalSales]]/Table1[[#This Row],[Quantity]]</f>
        <v>19110.689999999999</v>
      </c>
    </row>
    <row r="1125" spans="1:15" x14ac:dyDescent="0.35">
      <c r="A1125" t="s">
        <v>1183</v>
      </c>
      <c r="B1125" s="1">
        <v>45459</v>
      </c>
      <c r="C1125" t="s">
        <v>40</v>
      </c>
      <c r="D1125" t="s">
        <v>55</v>
      </c>
      <c r="E1125" t="s">
        <v>34</v>
      </c>
      <c r="F1125" t="s">
        <v>48</v>
      </c>
      <c r="G1125" t="s">
        <v>24</v>
      </c>
      <c r="H1125">
        <v>12</v>
      </c>
      <c r="I1125">
        <v>53175</v>
      </c>
      <c r="J1125" s="2">
        <v>0.05</v>
      </c>
      <c r="K1125" t="s">
        <v>31</v>
      </c>
      <c r="L1125">
        <v>606195</v>
      </c>
      <c r="M1125" t="str">
        <f>TEXT(Table1[[#This Row],[OrderDate]], "mmm")</f>
        <v>Jun</v>
      </c>
      <c r="N1125" t="str">
        <f>IF(Table1[[#This Row],[TotalSales]]&gt;50000,"High",IF(L1125&gt;20000,"Medium","Low"))</f>
        <v>High</v>
      </c>
      <c r="O1125">
        <f>Table1[[#This Row],[TotalSales]]/Table1[[#This Row],[Quantity]]</f>
        <v>50516.25</v>
      </c>
    </row>
    <row r="1126" spans="1:15" x14ac:dyDescent="0.35">
      <c r="A1126" t="s">
        <v>1184</v>
      </c>
      <c r="B1126" s="1">
        <v>45541</v>
      </c>
      <c r="C1126" t="s">
        <v>40</v>
      </c>
      <c r="D1126" t="s">
        <v>55</v>
      </c>
      <c r="E1126" t="s">
        <v>22</v>
      </c>
      <c r="F1126" t="s">
        <v>52</v>
      </c>
      <c r="G1126" t="s">
        <v>49</v>
      </c>
      <c r="H1126">
        <v>15</v>
      </c>
      <c r="I1126">
        <v>54362.61</v>
      </c>
      <c r="J1126" s="2">
        <v>0</v>
      </c>
      <c r="K1126" t="s">
        <v>18</v>
      </c>
      <c r="L1126">
        <v>815439.15</v>
      </c>
      <c r="M1126" t="str">
        <f>TEXT(Table1[[#This Row],[OrderDate]], "mmm")</f>
        <v>Sep</v>
      </c>
      <c r="N1126" t="str">
        <f>IF(Table1[[#This Row],[TotalSales]]&gt;50000,"High",IF(L1126&gt;20000,"Medium","Low"))</f>
        <v>High</v>
      </c>
      <c r="O1126">
        <f>Table1[[#This Row],[TotalSales]]/Table1[[#This Row],[Quantity]]</f>
        <v>54362.61</v>
      </c>
    </row>
    <row r="1127" spans="1:15" x14ac:dyDescent="0.35">
      <c r="A1127" t="s">
        <v>1185</v>
      </c>
      <c r="B1127" s="1">
        <v>45615</v>
      </c>
      <c r="C1127" t="s">
        <v>46</v>
      </c>
      <c r="D1127" t="s">
        <v>47</v>
      </c>
      <c r="E1127" t="s">
        <v>22</v>
      </c>
      <c r="F1127" t="s">
        <v>82</v>
      </c>
      <c r="G1127" t="s">
        <v>69</v>
      </c>
      <c r="H1127">
        <v>6</v>
      </c>
      <c r="I1127">
        <v>39182.81</v>
      </c>
      <c r="J1127" s="2">
        <v>0.2</v>
      </c>
      <c r="K1127" t="s">
        <v>18</v>
      </c>
      <c r="L1127">
        <v>188077.49</v>
      </c>
      <c r="M1127" t="str">
        <f>TEXT(Table1[[#This Row],[OrderDate]], "mmm")</f>
        <v>Nov</v>
      </c>
      <c r="N1127" t="str">
        <f>IF(Table1[[#This Row],[TotalSales]]&gt;50000,"High",IF(L1127&gt;20000,"Medium","Low"))</f>
        <v>High</v>
      </c>
      <c r="O1127">
        <f>Table1[[#This Row],[TotalSales]]/Table1[[#This Row],[Quantity]]</f>
        <v>31346.248333333333</v>
      </c>
    </row>
    <row r="1128" spans="1:15" x14ac:dyDescent="0.35">
      <c r="A1128" t="s">
        <v>1186</v>
      </c>
      <c r="B1128" s="1">
        <v>45492</v>
      </c>
      <c r="C1128" t="s">
        <v>13</v>
      </c>
      <c r="D1128" t="s">
        <v>33</v>
      </c>
      <c r="E1128" t="s">
        <v>22</v>
      </c>
      <c r="F1128" t="s">
        <v>52</v>
      </c>
      <c r="G1128" t="s">
        <v>43</v>
      </c>
      <c r="H1128">
        <v>15</v>
      </c>
      <c r="I1128">
        <v>29174.69</v>
      </c>
      <c r="J1128" s="2">
        <v>0.1</v>
      </c>
      <c r="K1128" t="s">
        <v>25</v>
      </c>
      <c r="L1128">
        <v>393858.32</v>
      </c>
      <c r="M1128" t="str">
        <f>TEXT(Table1[[#This Row],[OrderDate]], "mmm")</f>
        <v>Jul</v>
      </c>
      <c r="N1128" t="str">
        <f>IF(Table1[[#This Row],[TotalSales]]&gt;50000,"High",IF(L1128&gt;20000,"Medium","Low"))</f>
        <v>High</v>
      </c>
      <c r="O1128">
        <f>Table1[[#This Row],[TotalSales]]/Table1[[#This Row],[Quantity]]</f>
        <v>26257.221333333335</v>
      </c>
    </row>
    <row r="1129" spans="1:15" x14ac:dyDescent="0.35">
      <c r="A1129" t="s">
        <v>1187</v>
      </c>
      <c r="B1129" s="1">
        <v>45462</v>
      </c>
      <c r="C1129" t="s">
        <v>46</v>
      </c>
      <c r="D1129" t="s">
        <v>79</v>
      </c>
      <c r="E1129" t="s">
        <v>28</v>
      </c>
      <c r="F1129" t="s">
        <v>104</v>
      </c>
      <c r="G1129" t="s">
        <v>30</v>
      </c>
      <c r="H1129">
        <v>1</v>
      </c>
      <c r="I1129">
        <v>22522.03</v>
      </c>
      <c r="J1129" s="2">
        <v>0.15</v>
      </c>
      <c r="K1129" t="s">
        <v>18</v>
      </c>
      <c r="L1129">
        <v>19143.73</v>
      </c>
      <c r="M1129" t="str">
        <f>TEXT(Table1[[#This Row],[OrderDate]], "mmm")</f>
        <v>Jun</v>
      </c>
      <c r="N1129" t="str">
        <f>IF(Table1[[#This Row],[TotalSales]]&gt;50000,"High",IF(L1129&gt;20000,"Medium","Low"))</f>
        <v>Low</v>
      </c>
      <c r="O1129">
        <f>Table1[[#This Row],[TotalSales]]/Table1[[#This Row],[Quantity]]</f>
        <v>19143.73</v>
      </c>
    </row>
    <row r="1130" spans="1:15" x14ac:dyDescent="0.35">
      <c r="A1130" t="s">
        <v>1188</v>
      </c>
      <c r="B1130" s="1">
        <v>45445</v>
      </c>
      <c r="C1130" t="s">
        <v>40</v>
      </c>
      <c r="D1130" t="s">
        <v>41</v>
      </c>
      <c r="E1130" t="s">
        <v>28</v>
      </c>
      <c r="F1130" t="s">
        <v>125</v>
      </c>
      <c r="G1130" t="s">
        <v>43</v>
      </c>
      <c r="H1130">
        <v>15</v>
      </c>
      <c r="I1130">
        <v>35932.6</v>
      </c>
      <c r="J1130" s="2">
        <v>0</v>
      </c>
      <c r="K1130" t="s">
        <v>18</v>
      </c>
      <c r="L1130">
        <v>538989</v>
      </c>
      <c r="M1130" t="str">
        <f>TEXT(Table1[[#This Row],[OrderDate]], "mmm")</f>
        <v>Jun</v>
      </c>
      <c r="N1130" t="str">
        <f>IF(Table1[[#This Row],[TotalSales]]&gt;50000,"High",IF(L1130&gt;20000,"Medium","Low"))</f>
        <v>High</v>
      </c>
      <c r="O1130">
        <f>Table1[[#This Row],[TotalSales]]/Table1[[#This Row],[Quantity]]</f>
        <v>35932.6</v>
      </c>
    </row>
    <row r="1131" spans="1:15" x14ac:dyDescent="0.35">
      <c r="A1131" t="s">
        <v>1189</v>
      </c>
      <c r="B1131" s="1">
        <v>45495</v>
      </c>
      <c r="C1131" t="s">
        <v>40</v>
      </c>
      <c r="D1131" t="s">
        <v>55</v>
      </c>
      <c r="E1131" t="s">
        <v>15</v>
      </c>
      <c r="F1131" t="s">
        <v>59</v>
      </c>
      <c r="G1131" t="s">
        <v>66</v>
      </c>
      <c r="H1131">
        <v>1</v>
      </c>
      <c r="I1131">
        <v>23764.59</v>
      </c>
      <c r="J1131" s="2">
        <v>0</v>
      </c>
      <c r="K1131" t="s">
        <v>31</v>
      </c>
      <c r="L1131">
        <v>23764.59</v>
      </c>
      <c r="M1131" t="str">
        <f>TEXT(Table1[[#This Row],[OrderDate]], "mmm")</f>
        <v>Jul</v>
      </c>
      <c r="N1131" t="str">
        <f>IF(Table1[[#This Row],[TotalSales]]&gt;50000,"High",IF(L1131&gt;20000,"Medium","Low"))</f>
        <v>Medium</v>
      </c>
      <c r="O1131">
        <f>Table1[[#This Row],[TotalSales]]/Table1[[#This Row],[Quantity]]</f>
        <v>23764.59</v>
      </c>
    </row>
    <row r="1132" spans="1:15" x14ac:dyDescent="0.35">
      <c r="A1132" t="s">
        <v>1190</v>
      </c>
      <c r="B1132" s="1">
        <v>45401</v>
      </c>
      <c r="C1132" t="s">
        <v>40</v>
      </c>
      <c r="D1132" t="s">
        <v>51</v>
      </c>
      <c r="E1132" t="s">
        <v>28</v>
      </c>
      <c r="F1132" t="s">
        <v>76</v>
      </c>
      <c r="G1132" t="s">
        <v>83</v>
      </c>
      <c r="H1132">
        <v>9</v>
      </c>
      <c r="I1132">
        <v>36438.61</v>
      </c>
      <c r="J1132" s="2">
        <v>0</v>
      </c>
      <c r="K1132" t="s">
        <v>18</v>
      </c>
      <c r="L1132">
        <v>327947.49</v>
      </c>
      <c r="M1132" t="str">
        <f>TEXT(Table1[[#This Row],[OrderDate]], "mmm")</f>
        <v>Apr</v>
      </c>
      <c r="N1132" t="str">
        <f>IF(Table1[[#This Row],[TotalSales]]&gt;50000,"High",IF(L1132&gt;20000,"Medium","Low"))</f>
        <v>High</v>
      </c>
      <c r="O1132">
        <f>Table1[[#This Row],[TotalSales]]/Table1[[#This Row],[Quantity]]</f>
        <v>36438.61</v>
      </c>
    </row>
    <row r="1133" spans="1:15" x14ac:dyDescent="0.35">
      <c r="A1133" t="s">
        <v>1191</v>
      </c>
      <c r="B1133" s="1">
        <v>45460</v>
      </c>
      <c r="C1133" t="s">
        <v>40</v>
      </c>
      <c r="D1133" t="s">
        <v>55</v>
      </c>
      <c r="E1133" t="s">
        <v>22</v>
      </c>
      <c r="F1133" t="s">
        <v>23</v>
      </c>
      <c r="G1133" t="s">
        <v>49</v>
      </c>
      <c r="H1133">
        <v>11</v>
      </c>
      <c r="I1133">
        <v>13658.68</v>
      </c>
      <c r="J1133" s="2">
        <v>0.05</v>
      </c>
      <c r="K1133" t="s">
        <v>44</v>
      </c>
      <c r="L1133">
        <v>142733.21</v>
      </c>
      <c r="M1133" t="str">
        <f>TEXT(Table1[[#This Row],[OrderDate]], "mmm")</f>
        <v>Jun</v>
      </c>
      <c r="N1133" t="str">
        <f>IF(Table1[[#This Row],[TotalSales]]&gt;50000,"High",IF(L1133&gt;20000,"Medium","Low"))</f>
        <v>High</v>
      </c>
      <c r="O1133">
        <f>Table1[[#This Row],[TotalSales]]/Table1[[#This Row],[Quantity]]</f>
        <v>12975.746363636363</v>
      </c>
    </row>
    <row r="1134" spans="1:15" x14ac:dyDescent="0.35">
      <c r="A1134" t="s">
        <v>1192</v>
      </c>
      <c r="B1134" s="1">
        <v>45375</v>
      </c>
      <c r="C1134" t="s">
        <v>40</v>
      </c>
      <c r="D1134" t="s">
        <v>55</v>
      </c>
      <c r="E1134" t="s">
        <v>34</v>
      </c>
      <c r="F1134" t="s">
        <v>61</v>
      </c>
      <c r="G1134" t="s">
        <v>24</v>
      </c>
      <c r="H1134">
        <v>6</v>
      </c>
      <c r="I1134">
        <v>5548.72</v>
      </c>
      <c r="J1134" s="2">
        <v>0</v>
      </c>
      <c r="K1134" t="s">
        <v>31</v>
      </c>
      <c r="L1134">
        <v>33292.32</v>
      </c>
      <c r="M1134" t="str">
        <f>TEXT(Table1[[#This Row],[OrderDate]], "mmm")</f>
        <v>Mar</v>
      </c>
      <c r="N1134" t="str">
        <f>IF(Table1[[#This Row],[TotalSales]]&gt;50000,"High",IF(L1134&gt;20000,"Medium","Low"))</f>
        <v>Medium</v>
      </c>
      <c r="O1134">
        <f>Table1[[#This Row],[TotalSales]]/Table1[[#This Row],[Quantity]]</f>
        <v>5548.72</v>
      </c>
    </row>
    <row r="1135" spans="1:15" x14ac:dyDescent="0.35">
      <c r="A1135" t="s">
        <v>1193</v>
      </c>
      <c r="B1135" s="1">
        <v>45383</v>
      </c>
      <c r="C1135" t="s">
        <v>46</v>
      </c>
      <c r="D1135" t="s">
        <v>79</v>
      </c>
      <c r="E1135" t="s">
        <v>15</v>
      </c>
      <c r="F1135" t="s">
        <v>59</v>
      </c>
      <c r="G1135" t="s">
        <v>17</v>
      </c>
      <c r="H1135">
        <v>2</v>
      </c>
      <c r="I1135">
        <v>42116.54</v>
      </c>
      <c r="J1135" s="2">
        <v>0</v>
      </c>
      <c r="K1135" t="s">
        <v>25</v>
      </c>
      <c r="L1135">
        <v>84233.08</v>
      </c>
      <c r="M1135" t="str">
        <f>TEXT(Table1[[#This Row],[OrderDate]], "mmm")</f>
        <v>Apr</v>
      </c>
      <c r="N1135" t="str">
        <f>IF(Table1[[#This Row],[TotalSales]]&gt;50000,"High",IF(L1135&gt;20000,"Medium","Low"))</f>
        <v>High</v>
      </c>
      <c r="O1135">
        <f>Table1[[#This Row],[TotalSales]]/Table1[[#This Row],[Quantity]]</f>
        <v>42116.54</v>
      </c>
    </row>
    <row r="1136" spans="1:15" x14ac:dyDescent="0.35">
      <c r="A1136" t="s">
        <v>1194</v>
      </c>
      <c r="B1136" s="1">
        <v>45472</v>
      </c>
      <c r="C1136" t="s">
        <v>13</v>
      </c>
      <c r="D1136" t="s">
        <v>14</v>
      </c>
      <c r="E1136" t="s">
        <v>28</v>
      </c>
      <c r="F1136" t="s">
        <v>76</v>
      </c>
      <c r="G1136" t="s">
        <v>17</v>
      </c>
      <c r="H1136">
        <v>3</v>
      </c>
      <c r="I1136">
        <v>21455.86</v>
      </c>
      <c r="J1136" s="2">
        <v>0</v>
      </c>
      <c r="K1136" t="s">
        <v>31</v>
      </c>
      <c r="L1136">
        <v>64367.58</v>
      </c>
      <c r="M1136" t="str">
        <f>TEXT(Table1[[#This Row],[OrderDate]], "mmm")</f>
        <v>Jun</v>
      </c>
      <c r="N1136" t="str">
        <f>IF(Table1[[#This Row],[TotalSales]]&gt;50000,"High",IF(L1136&gt;20000,"Medium","Low"))</f>
        <v>High</v>
      </c>
      <c r="O1136">
        <f>Table1[[#This Row],[TotalSales]]/Table1[[#This Row],[Quantity]]</f>
        <v>21455.86</v>
      </c>
    </row>
    <row r="1137" spans="1:15" x14ac:dyDescent="0.35">
      <c r="A1137" t="s">
        <v>1195</v>
      </c>
      <c r="B1137" s="1">
        <v>45559</v>
      </c>
      <c r="C1137" t="s">
        <v>13</v>
      </c>
      <c r="D1137" t="s">
        <v>14</v>
      </c>
      <c r="E1137" t="s">
        <v>22</v>
      </c>
      <c r="F1137" t="s">
        <v>42</v>
      </c>
      <c r="G1137" t="s">
        <v>66</v>
      </c>
      <c r="H1137">
        <v>14</v>
      </c>
      <c r="I1137">
        <v>37986.230000000003</v>
      </c>
      <c r="J1137" s="2">
        <v>0</v>
      </c>
      <c r="K1137" t="s">
        <v>25</v>
      </c>
      <c r="L1137">
        <f>(Table1[[#This Row],[Quantity]]*Table1[[#This Row],[UnitPrice]])-(Table1[[#This Row],[Quantity]]*Table1[[#This Row],[UnitPrice]])*Table1[[#This Row],[Discount%]]</f>
        <v>531807.22000000009</v>
      </c>
      <c r="M1137" t="str">
        <f>TEXT(Table1[[#This Row],[OrderDate]], "mmm")</f>
        <v>Sep</v>
      </c>
      <c r="N1137" t="str">
        <f>IF(Table1[[#This Row],[TotalSales]]&gt;50000,"High",IF(L1137&gt;20000,"Medium","Low"))</f>
        <v>High</v>
      </c>
      <c r="O1137">
        <f>Table1[[#This Row],[TotalSales]]/Table1[[#This Row],[Quantity]]</f>
        <v>37986.230000000003</v>
      </c>
    </row>
    <row r="1138" spans="1:15" x14ac:dyDescent="0.35">
      <c r="A1138" t="s">
        <v>1196</v>
      </c>
      <c r="B1138" s="1">
        <v>45389</v>
      </c>
      <c r="C1138" t="s">
        <v>20</v>
      </c>
      <c r="D1138" t="s">
        <v>27</v>
      </c>
      <c r="E1138" t="s">
        <v>15</v>
      </c>
      <c r="F1138" t="s">
        <v>38</v>
      </c>
      <c r="G1138" t="s">
        <v>30</v>
      </c>
      <c r="H1138">
        <v>10</v>
      </c>
      <c r="I1138">
        <v>35134.410000000003</v>
      </c>
      <c r="J1138" s="2">
        <v>0.2</v>
      </c>
      <c r="K1138" t="s">
        <v>25</v>
      </c>
      <c r="L1138">
        <v>281075.28000000003</v>
      </c>
      <c r="M1138" t="str">
        <f>TEXT(Table1[[#This Row],[OrderDate]], "mmm")</f>
        <v>Apr</v>
      </c>
      <c r="N1138" t="str">
        <f>IF(Table1[[#This Row],[TotalSales]]&gt;50000,"High",IF(L1138&gt;20000,"Medium","Low"))</f>
        <v>High</v>
      </c>
      <c r="O1138">
        <f>Table1[[#This Row],[TotalSales]]/Table1[[#This Row],[Quantity]]</f>
        <v>28107.528000000002</v>
      </c>
    </row>
    <row r="1139" spans="1:15" x14ac:dyDescent="0.35">
      <c r="A1139" t="s">
        <v>1197</v>
      </c>
      <c r="B1139" s="1">
        <v>45313</v>
      </c>
      <c r="C1139" t="s">
        <v>13</v>
      </c>
      <c r="D1139" t="s">
        <v>14</v>
      </c>
      <c r="E1139" t="s">
        <v>34</v>
      </c>
      <c r="F1139" t="s">
        <v>48</v>
      </c>
      <c r="G1139" t="s">
        <v>83</v>
      </c>
      <c r="H1139">
        <v>1</v>
      </c>
      <c r="I1139">
        <v>25019.439999999999</v>
      </c>
      <c r="J1139" s="2">
        <v>0</v>
      </c>
      <c r="K1139" t="s">
        <v>25</v>
      </c>
      <c r="L1139">
        <v>25019.439999999999</v>
      </c>
      <c r="M1139" t="str">
        <f>TEXT(Table1[[#This Row],[OrderDate]], "mmm")</f>
        <v>Jan</v>
      </c>
      <c r="N1139" t="str">
        <f>IF(Table1[[#This Row],[TotalSales]]&gt;50000,"High",IF(L1139&gt;20000,"Medium","Low"))</f>
        <v>Medium</v>
      </c>
      <c r="O1139">
        <f>Table1[[#This Row],[TotalSales]]/Table1[[#This Row],[Quantity]]</f>
        <v>25019.439999999999</v>
      </c>
    </row>
    <row r="1140" spans="1:15" x14ac:dyDescent="0.35">
      <c r="A1140" t="s">
        <v>1198</v>
      </c>
      <c r="B1140" s="1">
        <v>45360</v>
      </c>
      <c r="C1140" t="s">
        <v>40</v>
      </c>
      <c r="D1140" t="s">
        <v>55</v>
      </c>
      <c r="E1140" t="s">
        <v>15</v>
      </c>
      <c r="F1140" t="s">
        <v>56</v>
      </c>
      <c r="G1140" t="s">
        <v>83</v>
      </c>
      <c r="H1140">
        <v>14</v>
      </c>
      <c r="I1140">
        <v>5459.56</v>
      </c>
      <c r="J1140" s="2">
        <v>0.1</v>
      </c>
      <c r="K1140" t="s">
        <v>31</v>
      </c>
      <c r="L1140">
        <v>68790.460000000006</v>
      </c>
      <c r="M1140" t="str">
        <f>TEXT(Table1[[#This Row],[OrderDate]], "mmm")</f>
        <v>Mar</v>
      </c>
      <c r="N1140" t="str">
        <f>IF(Table1[[#This Row],[TotalSales]]&gt;50000,"High",IF(L1140&gt;20000,"Medium","Low"))</f>
        <v>High</v>
      </c>
      <c r="O1140">
        <f>Table1[[#This Row],[TotalSales]]/Table1[[#This Row],[Quantity]]</f>
        <v>4913.6042857142866</v>
      </c>
    </row>
    <row r="1141" spans="1:15" x14ac:dyDescent="0.35">
      <c r="A1141" t="s">
        <v>1199</v>
      </c>
      <c r="B1141" s="1">
        <v>45566</v>
      </c>
      <c r="C1141" t="s">
        <v>20</v>
      </c>
      <c r="D1141" t="s">
        <v>97</v>
      </c>
      <c r="E1141" t="s">
        <v>15</v>
      </c>
      <c r="F1141" t="s">
        <v>56</v>
      </c>
      <c r="G1141" t="s">
        <v>24</v>
      </c>
      <c r="H1141">
        <v>14</v>
      </c>
      <c r="I1141">
        <v>23525.11</v>
      </c>
      <c r="J1141" s="2">
        <v>0</v>
      </c>
      <c r="K1141" t="s">
        <v>44</v>
      </c>
      <c r="L1141">
        <v>329351.53999999998</v>
      </c>
      <c r="M1141" t="str">
        <f>TEXT(Table1[[#This Row],[OrderDate]], "mmm")</f>
        <v>Oct</v>
      </c>
      <c r="N1141" t="str">
        <f>IF(Table1[[#This Row],[TotalSales]]&gt;50000,"High",IF(L1141&gt;20000,"Medium","Low"))</f>
        <v>High</v>
      </c>
      <c r="O1141">
        <f>Table1[[#This Row],[TotalSales]]/Table1[[#This Row],[Quantity]]</f>
        <v>23525.109999999997</v>
      </c>
    </row>
    <row r="1142" spans="1:15" x14ac:dyDescent="0.35">
      <c r="A1142" t="s">
        <v>1200</v>
      </c>
      <c r="B1142" s="1">
        <v>45502</v>
      </c>
      <c r="C1142" t="s">
        <v>13</v>
      </c>
      <c r="D1142" t="s">
        <v>37</v>
      </c>
      <c r="E1142" t="s">
        <v>34</v>
      </c>
      <c r="F1142" t="s">
        <v>61</v>
      </c>
      <c r="G1142" t="s">
        <v>49</v>
      </c>
      <c r="H1142">
        <v>2</v>
      </c>
      <c r="I1142">
        <v>53637.1</v>
      </c>
      <c r="J1142" s="2">
        <v>0</v>
      </c>
      <c r="K1142" t="s">
        <v>44</v>
      </c>
      <c r="L1142">
        <f>(Table1[[#This Row],[Quantity]]*Table1[[#This Row],[UnitPrice]])-(Table1[[#This Row],[Quantity]]*Table1[[#This Row],[UnitPrice]])*Table1[[#This Row],[Discount%]]</f>
        <v>107274.2</v>
      </c>
      <c r="M1142" t="str">
        <f>TEXT(Table1[[#This Row],[OrderDate]], "mmm")</f>
        <v>Jul</v>
      </c>
      <c r="N1142" t="str">
        <f>IF(Table1[[#This Row],[TotalSales]]&gt;50000,"High",IF(L1142&gt;20000,"Medium","Low"))</f>
        <v>High</v>
      </c>
      <c r="O1142">
        <f>Table1[[#This Row],[TotalSales]]/Table1[[#This Row],[Quantity]]</f>
        <v>53637.1</v>
      </c>
    </row>
    <row r="1143" spans="1:15" x14ac:dyDescent="0.35">
      <c r="A1143" t="s">
        <v>1201</v>
      </c>
      <c r="B1143" s="1">
        <v>45600</v>
      </c>
      <c r="C1143" t="s">
        <v>20</v>
      </c>
      <c r="D1143" t="s">
        <v>21</v>
      </c>
      <c r="E1143" t="s">
        <v>22</v>
      </c>
      <c r="F1143" t="s">
        <v>23</v>
      </c>
      <c r="G1143" t="s">
        <v>17</v>
      </c>
      <c r="H1143">
        <v>10</v>
      </c>
      <c r="I1143">
        <v>46866.03</v>
      </c>
      <c r="J1143" s="2">
        <v>0</v>
      </c>
      <c r="K1143" t="s">
        <v>18</v>
      </c>
      <c r="L1143">
        <v>468660.3</v>
      </c>
      <c r="M1143" t="str">
        <f>TEXT(Table1[[#This Row],[OrderDate]], "mmm")</f>
        <v>Nov</v>
      </c>
      <c r="N1143" t="str">
        <f>IF(Table1[[#This Row],[TotalSales]]&gt;50000,"High",IF(L1143&gt;20000,"Medium","Low"))</f>
        <v>High</v>
      </c>
      <c r="O1143">
        <f>Table1[[#This Row],[TotalSales]]/Table1[[#This Row],[Quantity]]</f>
        <v>46866.03</v>
      </c>
    </row>
    <row r="1144" spans="1:15" x14ac:dyDescent="0.35">
      <c r="A1144" t="s">
        <v>1202</v>
      </c>
      <c r="B1144" s="1">
        <v>45433</v>
      </c>
      <c r="C1144" t="s">
        <v>20</v>
      </c>
      <c r="D1144" t="s">
        <v>27</v>
      </c>
      <c r="E1144" t="s">
        <v>22</v>
      </c>
      <c r="F1144" t="s">
        <v>23</v>
      </c>
      <c r="G1144" t="s">
        <v>49</v>
      </c>
      <c r="H1144">
        <v>5</v>
      </c>
      <c r="I1144">
        <v>46312.4</v>
      </c>
      <c r="J1144" s="2">
        <v>0.1</v>
      </c>
      <c r="K1144" t="s">
        <v>44</v>
      </c>
      <c r="L1144">
        <v>208405.8</v>
      </c>
      <c r="M1144" t="str">
        <f>TEXT(Table1[[#This Row],[OrderDate]], "mmm")</f>
        <v>May</v>
      </c>
      <c r="N1144" t="str">
        <f>IF(Table1[[#This Row],[TotalSales]]&gt;50000,"High",IF(L1144&gt;20000,"Medium","Low"))</f>
        <v>High</v>
      </c>
      <c r="O1144">
        <f>Table1[[#This Row],[TotalSales]]/Table1[[#This Row],[Quantity]]</f>
        <v>41681.159999999996</v>
      </c>
    </row>
    <row r="1145" spans="1:15" x14ac:dyDescent="0.35">
      <c r="A1145" t="s">
        <v>1203</v>
      </c>
      <c r="B1145" s="1">
        <v>45507</v>
      </c>
      <c r="C1145" t="s">
        <v>46</v>
      </c>
      <c r="D1145" t="s">
        <v>79</v>
      </c>
      <c r="E1145" t="s">
        <v>15</v>
      </c>
      <c r="F1145" t="s">
        <v>38</v>
      </c>
      <c r="G1145" t="s">
        <v>43</v>
      </c>
      <c r="H1145">
        <v>2</v>
      </c>
      <c r="I1145">
        <v>36252.78</v>
      </c>
      <c r="J1145" s="2">
        <v>0</v>
      </c>
      <c r="K1145" t="s">
        <v>31</v>
      </c>
      <c r="L1145">
        <v>72505.56</v>
      </c>
      <c r="M1145" t="str">
        <f>TEXT(Table1[[#This Row],[OrderDate]], "mmm")</f>
        <v>Aug</v>
      </c>
      <c r="N1145" t="str">
        <f>IF(Table1[[#This Row],[TotalSales]]&gt;50000,"High",IF(L1145&gt;20000,"Medium","Low"))</f>
        <v>High</v>
      </c>
      <c r="O1145">
        <f>Table1[[#This Row],[TotalSales]]/Table1[[#This Row],[Quantity]]</f>
        <v>36252.78</v>
      </c>
    </row>
    <row r="1146" spans="1:15" x14ac:dyDescent="0.35">
      <c r="A1146" t="s">
        <v>1204</v>
      </c>
      <c r="B1146" s="1">
        <v>45499</v>
      </c>
      <c r="C1146" t="s">
        <v>40</v>
      </c>
      <c r="D1146" t="s">
        <v>41</v>
      </c>
      <c r="E1146" t="s">
        <v>34</v>
      </c>
      <c r="F1146" t="s">
        <v>35</v>
      </c>
      <c r="G1146" t="s">
        <v>24</v>
      </c>
      <c r="H1146">
        <v>9</v>
      </c>
      <c r="I1146">
        <v>6057.62</v>
      </c>
      <c r="J1146" s="2">
        <v>0</v>
      </c>
      <c r="K1146" t="s">
        <v>18</v>
      </c>
      <c r="L1146">
        <v>54518.58</v>
      </c>
      <c r="M1146" t="str">
        <f>TEXT(Table1[[#This Row],[OrderDate]], "mmm")</f>
        <v>Jul</v>
      </c>
      <c r="N1146" t="str">
        <f>IF(Table1[[#This Row],[TotalSales]]&gt;50000,"High",IF(L1146&gt;20000,"Medium","Low"))</f>
        <v>High</v>
      </c>
      <c r="O1146">
        <f>Table1[[#This Row],[TotalSales]]/Table1[[#This Row],[Quantity]]</f>
        <v>6057.62</v>
      </c>
    </row>
    <row r="1147" spans="1:15" x14ac:dyDescent="0.35">
      <c r="A1147" t="s">
        <v>1205</v>
      </c>
      <c r="B1147" s="1">
        <v>45654</v>
      </c>
      <c r="C1147" t="s">
        <v>40</v>
      </c>
      <c r="D1147" t="s">
        <v>55</v>
      </c>
      <c r="E1147" t="s">
        <v>15</v>
      </c>
      <c r="F1147" t="s">
        <v>16</v>
      </c>
      <c r="G1147" t="s">
        <v>49</v>
      </c>
      <c r="H1147">
        <v>3</v>
      </c>
      <c r="I1147">
        <v>9481.4500000000007</v>
      </c>
      <c r="J1147" s="2">
        <v>0.2</v>
      </c>
      <c r="K1147" t="s">
        <v>18</v>
      </c>
      <c r="L1147">
        <f>(Table1[[#This Row],[Quantity]]*Table1[[#This Row],[UnitPrice]])-(Table1[[#This Row],[Quantity]]*Table1[[#This Row],[UnitPrice]])*Table1[[#This Row],[Discount%]]</f>
        <v>22755.480000000003</v>
      </c>
      <c r="M1147" t="str">
        <f>TEXT(Table1[[#This Row],[OrderDate]], "mmm")</f>
        <v>Dec</v>
      </c>
      <c r="N1147" t="str">
        <f>IF(Table1[[#This Row],[TotalSales]]&gt;50000,"High",IF(L1147&gt;20000,"Medium","Low"))</f>
        <v>Medium</v>
      </c>
      <c r="O1147">
        <f>Table1[[#This Row],[TotalSales]]/Table1[[#This Row],[Quantity]]</f>
        <v>7585.1600000000008</v>
      </c>
    </row>
    <row r="1148" spans="1:15" x14ac:dyDescent="0.35">
      <c r="A1148" t="s">
        <v>1206</v>
      </c>
      <c r="B1148" s="1">
        <v>45400</v>
      </c>
      <c r="C1148" t="s">
        <v>46</v>
      </c>
      <c r="D1148" t="s">
        <v>79</v>
      </c>
      <c r="E1148" t="s">
        <v>34</v>
      </c>
      <c r="F1148" t="s">
        <v>61</v>
      </c>
      <c r="G1148" t="s">
        <v>66</v>
      </c>
      <c r="H1148">
        <v>10</v>
      </c>
      <c r="I1148">
        <v>36745.15</v>
      </c>
      <c r="J1148" s="2">
        <v>0</v>
      </c>
      <c r="K1148" t="s">
        <v>44</v>
      </c>
      <c r="L1148">
        <v>367451.5</v>
      </c>
      <c r="M1148" t="str">
        <f>TEXT(Table1[[#This Row],[OrderDate]], "mmm")</f>
        <v>Apr</v>
      </c>
      <c r="N1148" t="str">
        <f>IF(Table1[[#This Row],[TotalSales]]&gt;50000,"High",IF(L1148&gt;20000,"Medium","Low"))</f>
        <v>High</v>
      </c>
      <c r="O1148">
        <f>Table1[[#This Row],[TotalSales]]/Table1[[#This Row],[Quantity]]</f>
        <v>36745.15</v>
      </c>
    </row>
    <row r="1149" spans="1:15" x14ac:dyDescent="0.35">
      <c r="A1149" t="s">
        <v>1207</v>
      </c>
      <c r="B1149" s="1">
        <v>45507</v>
      </c>
      <c r="C1149" t="s">
        <v>46</v>
      </c>
      <c r="D1149" t="s">
        <v>71</v>
      </c>
      <c r="E1149" t="s">
        <v>28</v>
      </c>
      <c r="F1149" t="s">
        <v>125</v>
      </c>
      <c r="G1149" t="s">
        <v>24</v>
      </c>
      <c r="H1149">
        <v>5</v>
      </c>
      <c r="I1149">
        <v>35728.9</v>
      </c>
      <c r="J1149" s="2">
        <v>0.05</v>
      </c>
      <c r="K1149" t="s">
        <v>18</v>
      </c>
      <c r="L1149">
        <v>169712.27</v>
      </c>
      <c r="M1149" t="str">
        <f>TEXT(Table1[[#This Row],[OrderDate]], "mmm")</f>
        <v>Aug</v>
      </c>
      <c r="N1149" t="str">
        <f>IF(Table1[[#This Row],[TotalSales]]&gt;50000,"High",IF(L1149&gt;20000,"Medium","Low"))</f>
        <v>High</v>
      </c>
      <c r="O1149">
        <f>Table1[[#This Row],[TotalSales]]/Table1[[#This Row],[Quantity]]</f>
        <v>33942.453999999998</v>
      </c>
    </row>
    <row r="1150" spans="1:15" x14ac:dyDescent="0.35">
      <c r="A1150" t="s">
        <v>1208</v>
      </c>
      <c r="B1150" s="1">
        <v>45312</v>
      </c>
      <c r="C1150" t="s">
        <v>20</v>
      </c>
      <c r="D1150" t="s">
        <v>21</v>
      </c>
      <c r="E1150" t="s">
        <v>15</v>
      </c>
      <c r="F1150" t="s">
        <v>59</v>
      </c>
      <c r="G1150" t="s">
        <v>49</v>
      </c>
      <c r="H1150">
        <v>4</v>
      </c>
      <c r="I1150">
        <v>54898.34</v>
      </c>
      <c r="J1150" s="2">
        <v>0.15</v>
      </c>
      <c r="K1150" t="s">
        <v>31</v>
      </c>
      <c r="L1150">
        <v>186654.36</v>
      </c>
      <c r="M1150" t="str">
        <f>TEXT(Table1[[#This Row],[OrderDate]], "mmm")</f>
        <v>Jan</v>
      </c>
      <c r="N1150" t="str">
        <f>IF(Table1[[#This Row],[TotalSales]]&gt;50000,"High",IF(L1150&gt;20000,"Medium","Low"))</f>
        <v>High</v>
      </c>
      <c r="O1150">
        <f>Table1[[#This Row],[TotalSales]]/Table1[[#This Row],[Quantity]]</f>
        <v>46663.59</v>
      </c>
    </row>
    <row r="1151" spans="1:15" x14ac:dyDescent="0.35">
      <c r="A1151" t="s">
        <v>1209</v>
      </c>
      <c r="B1151" s="1">
        <v>45299</v>
      </c>
      <c r="C1151" t="s">
        <v>46</v>
      </c>
      <c r="D1151" t="s">
        <v>71</v>
      </c>
      <c r="E1151" t="s">
        <v>15</v>
      </c>
      <c r="F1151" t="s">
        <v>59</v>
      </c>
      <c r="G1151" t="s">
        <v>83</v>
      </c>
      <c r="H1151">
        <v>7</v>
      </c>
      <c r="I1151">
        <v>6061.06</v>
      </c>
      <c r="J1151" s="2">
        <v>0</v>
      </c>
      <c r="K1151" t="s">
        <v>44</v>
      </c>
      <c r="L1151">
        <v>42427.42</v>
      </c>
      <c r="M1151" t="str">
        <f>TEXT(Table1[[#This Row],[OrderDate]], "mmm")</f>
        <v>Jan</v>
      </c>
      <c r="N1151" t="str">
        <f>IF(Table1[[#This Row],[TotalSales]]&gt;50000,"High",IF(L1151&gt;20000,"Medium","Low"))</f>
        <v>Medium</v>
      </c>
      <c r="O1151">
        <f>Table1[[#This Row],[TotalSales]]/Table1[[#This Row],[Quantity]]</f>
        <v>6061.0599999999995</v>
      </c>
    </row>
    <row r="1152" spans="1:15" x14ac:dyDescent="0.35">
      <c r="A1152" t="s">
        <v>1210</v>
      </c>
      <c r="B1152" s="1">
        <v>45631</v>
      </c>
      <c r="C1152" t="s">
        <v>13</v>
      </c>
      <c r="D1152" t="s">
        <v>37</v>
      </c>
      <c r="E1152" t="s">
        <v>34</v>
      </c>
      <c r="F1152" t="s">
        <v>88</v>
      </c>
      <c r="G1152" t="s">
        <v>69</v>
      </c>
      <c r="H1152">
        <v>4</v>
      </c>
      <c r="I1152">
        <v>47205.04</v>
      </c>
      <c r="J1152" s="2">
        <v>0</v>
      </c>
      <c r="K1152" t="s">
        <v>25</v>
      </c>
      <c r="L1152">
        <v>188820.16</v>
      </c>
      <c r="M1152" t="str">
        <f>TEXT(Table1[[#This Row],[OrderDate]], "mmm")</f>
        <v>Dec</v>
      </c>
      <c r="N1152" t="str">
        <f>IF(Table1[[#This Row],[TotalSales]]&gt;50000,"High",IF(L1152&gt;20000,"Medium","Low"))</f>
        <v>High</v>
      </c>
      <c r="O1152">
        <f>Table1[[#This Row],[TotalSales]]/Table1[[#This Row],[Quantity]]</f>
        <v>47205.04</v>
      </c>
    </row>
    <row r="1153" spans="1:15" x14ac:dyDescent="0.35">
      <c r="A1153" t="s">
        <v>1211</v>
      </c>
      <c r="B1153" s="1">
        <v>45421</v>
      </c>
      <c r="C1153" t="s">
        <v>40</v>
      </c>
      <c r="D1153" t="s">
        <v>55</v>
      </c>
      <c r="E1153" t="s">
        <v>34</v>
      </c>
      <c r="F1153" t="s">
        <v>48</v>
      </c>
      <c r="G1153" t="s">
        <v>49</v>
      </c>
      <c r="H1153">
        <v>1</v>
      </c>
      <c r="I1153">
        <v>23944.48</v>
      </c>
      <c r="J1153" s="2">
        <v>0</v>
      </c>
      <c r="K1153" t="s">
        <v>18</v>
      </c>
      <c r="L1153">
        <v>23944.48</v>
      </c>
      <c r="M1153" t="str">
        <f>TEXT(Table1[[#This Row],[OrderDate]], "mmm")</f>
        <v>May</v>
      </c>
      <c r="N1153" t="str">
        <f>IF(Table1[[#This Row],[TotalSales]]&gt;50000,"High",IF(L1153&gt;20000,"Medium","Low"))</f>
        <v>Medium</v>
      </c>
      <c r="O1153">
        <f>Table1[[#This Row],[TotalSales]]/Table1[[#This Row],[Quantity]]</f>
        <v>23944.48</v>
      </c>
    </row>
    <row r="1154" spans="1:15" x14ac:dyDescent="0.35">
      <c r="A1154" t="s">
        <v>1212</v>
      </c>
      <c r="B1154" s="1">
        <v>45437</v>
      </c>
      <c r="C1154" t="s">
        <v>13</v>
      </c>
      <c r="D1154" t="s">
        <v>14</v>
      </c>
      <c r="E1154" t="s">
        <v>34</v>
      </c>
      <c r="F1154" t="s">
        <v>35</v>
      </c>
      <c r="G1154" t="s">
        <v>83</v>
      </c>
      <c r="H1154">
        <v>5</v>
      </c>
      <c r="I1154">
        <v>9902.89</v>
      </c>
      <c r="J1154" s="2">
        <v>0.2</v>
      </c>
      <c r="K1154" t="s">
        <v>44</v>
      </c>
      <c r="L1154">
        <v>39611.56</v>
      </c>
      <c r="M1154" t="str">
        <f>TEXT(Table1[[#This Row],[OrderDate]], "mmm")</f>
        <v>May</v>
      </c>
      <c r="N1154" t="str">
        <f>IF(Table1[[#This Row],[TotalSales]]&gt;50000,"High",IF(L1154&gt;20000,"Medium","Low"))</f>
        <v>Medium</v>
      </c>
      <c r="O1154">
        <f>Table1[[#This Row],[TotalSales]]/Table1[[#This Row],[Quantity]]</f>
        <v>7922.3119999999999</v>
      </c>
    </row>
    <row r="1155" spans="1:15" x14ac:dyDescent="0.35">
      <c r="A1155" t="s">
        <v>1213</v>
      </c>
      <c r="B1155" s="1">
        <v>45433</v>
      </c>
      <c r="C1155" t="s">
        <v>20</v>
      </c>
      <c r="D1155" t="s">
        <v>21</v>
      </c>
      <c r="E1155" t="s">
        <v>22</v>
      </c>
      <c r="F1155" t="s">
        <v>82</v>
      </c>
      <c r="G1155" t="s">
        <v>69</v>
      </c>
      <c r="H1155">
        <v>14</v>
      </c>
      <c r="I1155">
        <v>26330.57</v>
      </c>
      <c r="J1155" s="2">
        <v>0.05</v>
      </c>
      <c r="K1155" t="s">
        <v>25</v>
      </c>
      <c r="L1155">
        <v>350196.58</v>
      </c>
      <c r="M1155" t="str">
        <f>TEXT(Table1[[#This Row],[OrderDate]], "mmm")</f>
        <v>May</v>
      </c>
      <c r="N1155" t="str">
        <f>IF(Table1[[#This Row],[TotalSales]]&gt;50000,"High",IF(L1155&gt;20000,"Medium","Low"))</f>
        <v>High</v>
      </c>
      <c r="O1155">
        <f>Table1[[#This Row],[TotalSales]]/Table1[[#This Row],[Quantity]]</f>
        <v>25014.041428571429</v>
      </c>
    </row>
    <row r="1156" spans="1:15" x14ac:dyDescent="0.35">
      <c r="A1156" t="s">
        <v>1214</v>
      </c>
      <c r="B1156" s="1">
        <v>45429</v>
      </c>
      <c r="C1156" t="s">
        <v>20</v>
      </c>
      <c r="D1156" t="s">
        <v>27</v>
      </c>
      <c r="E1156" t="s">
        <v>34</v>
      </c>
      <c r="F1156" t="s">
        <v>61</v>
      </c>
      <c r="G1156" t="s">
        <v>66</v>
      </c>
      <c r="H1156">
        <v>12</v>
      </c>
      <c r="I1156">
        <v>20521.71</v>
      </c>
      <c r="J1156" s="2">
        <v>0</v>
      </c>
      <c r="K1156" t="s">
        <v>31</v>
      </c>
      <c r="L1156">
        <v>246260.52</v>
      </c>
      <c r="M1156" t="str">
        <f>TEXT(Table1[[#This Row],[OrderDate]], "mmm")</f>
        <v>May</v>
      </c>
      <c r="N1156" t="str">
        <f>IF(Table1[[#This Row],[TotalSales]]&gt;50000,"High",IF(L1156&gt;20000,"Medium","Low"))</f>
        <v>High</v>
      </c>
      <c r="O1156">
        <f>Table1[[#This Row],[TotalSales]]/Table1[[#This Row],[Quantity]]</f>
        <v>20521.71</v>
      </c>
    </row>
    <row r="1157" spans="1:15" x14ac:dyDescent="0.35">
      <c r="A1157" t="s">
        <v>1215</v>
      </c>
      <c r="B1157" s="1">
        <v>45421</v>
      </c>
      <c r="C1157" t="s">
        <v>20</v>
      </c>
      <c r="D1157" t="s">
        <v>97</v>
      </c>
      <c r="E1157" t="s">
        <v>15</v>
      </c>
      <c r="F1157" t="s">
        <v>16</v>
      </c>
      <c r="G1157" t="s">
        <v>24</v>
      </c>
      <c r="H1157">
        <v>13</v>
      </c>
      <c r="I1157">
        <v>13587.32</v>
      </c>
      <c r="J1157" s="2">
        <v>0.15</v>
      </c>
      <c r="K1157" t="s">
        <v>25</v>
      </c>
      <c r="L1157">
        <v>150139.89000000001</v>
      </c>
      <c r="M1157" t="str">
        <f>TEXT(Table1[[#This Row],[OrderDate]], "mmm")</f>
        <v>May</v>
      </c>
      <c r="N1157" t="str">
        <f>IF(Table1[[#This Row],[TotalSales]]&gt;50000,"High",IF(L1157&gt;20000,"Medium","Low"))</f>
        <v>High</v>
      </c>
      <c r="O1157">
        <f>Table1[[#This Row],[TotalSales]]/Table1[[#This Row],[Quantity]]</f>
        <v>11549.222307692309</v>
      </c>
    </row>
    <row r="1158" spans="1:15" x14ac:dyDescent="0.35">
      <c r="A1158" t="s">
        <v>1216</v>
      </c>
      <c r="B1158" s="1">
        <v>45645</v>
      </c>
      <c r="C1158" t="s">
        <v>46</v>
      </c>
      <c r="D1158" t="s">
        <v>79</v>
      </c>
      <c r="E1158" t="s">
        <v>15</v>
      </c>
      <c r="F1158" t="s">
        <v>59</v>
      </c>
      <c r="G1158" t="s">
        <v>66</v>
      </c>
      <c r="H1158">
        <v>13</v>
      </c>
      <c r="I1158">
        <v>30552.21</v>
      </c>
      <c r="J1158" s="2">
        <v>0.1</v>
      </c>
      <c r="K1158" t="s">
        <v>44</v>
      </c>
      <c r="L1158">
        <v>357460.86</v>
      </c>
      <c r="M1158" t="str">
        <f>TEXT(Table1[[#This Row],[OrderDate]], "mmm")</f>
        <v>Dec</v>
      </c>
      <c r="N1158" t="str">
        <f>IF(Table1[[#This Row],[TotalSales]]&gt;50000,"High",IF(L1158&gt;20000,"Medium","Low"))</f>
        <v>High</v>
      </c>
      <c r="O1158">
        <f>Table1[[#This Row],[TotalSales]]/Table1[[#This Row],[Quantity]]</f>
        <v>27496.989230769228</v>
      </c>
    </row>
    <row r="1159" spans="1:15" x14ac:dyDescent="0.35">
      <c r="A1159" t="s">
        <v>1217</v>
      </c>
      <c r="B1159" s="1">
        <v>45600</v>
      </c>
      <c r="C1159" t="s">
        <v>40</v>
      </c>
      <c r="D1159" t="s">
        <v>51</v>
      </c>
      <c r="E1159" t="s">
        <v>28</v>
      </c>
      <c r="F1159" t="s">
        <v>125</v>
      </c>
      <c r="G1159" t="s">
        <v>83</v>
      </c>
      <c r="H1159">
        <v>10</v>
      </c>
      <c r="I1159">
        <v>31108.41</v>
      </c>
      <c r="J1159" s="2">
        <v>0</v>
      </c>
      <c r="K1159" t="s">
        <v>44</v>
      </c>
      <c r="L1159">
        <v>311084.09999999998</v>
      </c>
      <c r="M1159" t="str">
        <f>TEXT(Table1[[#This Row],[OrderDate]], "mmm")</f>
        <v>Nov</v>
      </c>
      <c r="N1159" t="str">
        <f>IF(Table1[[#This Row],[TotalSales]]&gt;50000,"High",IF(L1159&gt;20000,"Medium","Low"))</f>
        <v>High</v>
      </c>
      <c r="O1159">
        <f>Table1[[#This Row],[TotalSales]]/Table1[[#This Row],[Quantity]]</f>
        <v>31108.409999999996</v>
      </c>
    </row>
    <row r="1160" spans="1:15" x14ac:dyDescent="0.35">
      <c r="A1160" t="s">
        <v>1218</v>
      </c>
      <c r="B1160" s="1">
        <v>45408</v>
      </c>
      <c r="C1160" t="s">
        <v>13</v>
      </c>
      <c r="D1160" t="s">
        <v>37</v>
      </c>
      <c r="E1160" t="s">
        <v>34</v>
      </c>
      <c r="F1160" t="s">
        <v>61</v>
      </c>
      <c r="G1160" t="s">
        <v>43</v>
      </c>
      <c r="H1160">
        <v>7</v>
      </c>
      <c r="I1160">
        <v>52671.1</v>
      </c>
      <c r="J1160" s="2">
        <v>0</v>
      </c>
      <c r="K1160" t="s">
        <v>18</v>
      </c>
      <c r="L1160">
        <v>368697.7</v>
      </c>
      <c r="M1160" t="str">
        <f>TEXT(Table1[[#This Row],[OrderDate]], "mmm")</f>
        <v>Apr</v>
      </c>
      <c r="N1160" t="str">
        <f>IF(Table1[[#This Row],[TotalSales]]&gt;50000,"High",IF(L1160&gt;20000,"Medium","Low"))</f>
        <v>High</v>
      </c>
      <c r="O1160">
        <f>Table1[[#This Row],[TotalSales]]/Table1[[#This Row],[Quantity]]</f>
        <v>52671.1</v>
      </c>
    </row>
    <row r="1161" spans="1:15" x14ac:dyDescent="0.35">
      <c r="A1161" t="s">
        <v>1219</v>
      </c>
      <c r="B1161" s="1">
        <v>45640</v>
      </c>
      <c r="C1161" t="s">
        <v>46</v>
      </c>
      <c r="D1161" t="s">
        <v>47</v>
      </c>
      <c r="E1161" t="s">
        <v>34</v>
      </c>
      <c r="F1161" t="s">
        <v>88</v>
      </c>
      <c r="G1161" t="s">
        <v>43</v>
      </c>
      <c r="H1161">
        <v>9</v>
      </c>
      <c r="I1161">
        <v>24382.21</v>
      </c>
      <c r="J1161" s="2">
        <v>0</v>
      </c>
      <c r="K1161" t="s">
        <v>25</v>
      </c>
      <c r="L1161">
        <v>219439.89</v>
      </c>
      <c r="M1161" t="str">
        <f>TEXT(Table1[[#This Row],[OrderDate]], "mmm")</f>
        <v>Dec</v>
      </c>
      <c r="N1161" t="str">
        <f>IF(Table1[[#This Row],[TotalSales]]&gt;50000,"High",IF(L1161&gt;20000,"Medium","Low"))</f>
        <v>High</v>
      </c>
      <c r="O1161">
        <f>Table1[[#This Row],[TotalSales]]/Table1[[#This Row],[Quantity]]</f>
        <v>24382.210000000003</v>
      </c>
    </row>
    <row r="1162" spans="1:15" x14ac:dyDescent="0.35">
      <c r="A1162" t="s">
        <v>1220</v>
      </c>
      <c r="B1162" s="1">
        <v>45339</v>
      </c>
      <c r="C1162" t="s">
        <v>40</v>
      </c>
      <c r="D1162" t="s">
        <v>55</v>
      </c>
      <c r="E1162" t="s">
        <v>15</v>
      </c>
      <c r="F1162" t="s">
        <v>56</v>
      </c>
      <c r="G1162" t="s">
        <v>69</v>
      </c>
      <c r="H1162">
        <v>6</v>
      </c>
      <c r="I1162">
        <v>50811.48</v>
      </c>
      <c r="J1162" s="2">
        <v>0.1</v>
      </c>
      <c r="K1162" t="s">
        <v>31</v>
      </c>
      <c r="L1162">
        <v>274381.99</v>
      </c>
      <c r="M1162" t="str">
        <f>TEXT(Table1[[#This Row],[OrderDate]], "mmm")</f>
        <v>Feb</v>
      </c>
      <c r="N1162" t="str">
        <f>IF(Table1[[#This Row],[TotalSales]]&gt;50000,"High",IF(L1162&gt;20000,"Medium","Low"))</f>
        <v>High</v>
      </c>
      <c r="O1162">
        <f>Table1[[#This Row],[TotalSales]]/Table1[[#This Row],[Quantity]]</f>
        <v>45730.331666666665</v>
      </c>
    </row>
    <row r="1163" spans="1:15" x14ac:dyDescent="0.35">
      <c r="A1163" t="s">
        <v>1221</v>
      </c>
      <c r="B1163" s="1">
        <v>45648</v>
      </c>
      <c r="C1163" t="s">
        <v>20</v>
      </c>
      <c r="D1163" t="s">
        <v>21</v>
      </c>
      <c r="E1163" t="s">
        <v>34</v>
      </c>
      <c r="F1163" t="s">
        <v>48</v>
      </c>
      <c r="G1163" t="s">
        <v>17</v>
      </c>
      <c r="H1163">
        <v>12</v>
      </c>
      <c r="I1163">
        <v>548.34</v>
      </c>
      <c r="J1163" s="2">
        <v>0.2</v>
      </c>
      <c r="K1163" t="s">
        <v>31</v>
      </c>
      <c r="L1163">
        <v>5264.06</v>
      </c>
      <c r="M1163" t="str">
        <f>TEXT(Table1[[#This Row],[OrderDate]], "mmm")</f>
        <v>Dec</v>
      </c>
      <c r="N1163" t="str">
        <f>IF(Table1[[#This Row],[TotalSales]]&gt;50000,"High",IF(L1163&gt;20000,"Medium","Low"))</f>
        <v>Low</v>
      </c>
      <c r="O1163">
        <f>Table1[[#This Row],[TotalSales]]/Table1[[#This Row],[Quantity]]</f>
        <v>438.67166666666668</v>
      </c>
    </row>
    <row r="1164" spans="1:15" x14ac:dyDescent="0.35">
      <c r="A1164" t="s">
        <v>1222</v>
      </c>
      <c r="B1164" s="1">
        <v>45648</v>
      </c>
      <c r="C1164" t="s">
        <v>46</v>
      </c>
      <c r="D1164" t="s">
        <v>79</v>
      </c>
      <c r="E1164" t="s">
        <v>22</v>
      </c>
      <c r="F1164" t="s">
        <v>52</v>
      </c>
      <c r="G1164" t="s">
        <v>43</v>
      </c>
      <c r="H1164">
        <v>6</v>
      </c>
      <c r="I1164">
        <v>51419.08</v>
      </c>
      <c r="J1164" s="2">
        <v>0.2</v>
      </c>
      <c r="K1164" t="s">
        <v>44</v>
      </c>
      <c r="L1164">
        <v>246811.58</v>
      </c>
      <c r="M1164" t="str">
        <f>TEXT(Table1[[#This Row],[OrderDate]], "mmm")</f>
        <v>Dec</v>
      </c>
      <c r="N1164" t="str">
        <f>IF(Table1[[#This Row],[TotalSales]]&gt;50000,"High",IF(L1164&gt;20000,"Medium","Low"))</f>
        <v>High</v>
      </c>
      <c r="O1164">
        <f>Table1[[#This Row],[TotalSales]]/Table1[[#This Row],[Quantity]]</f>
        <v>41135.263333333329</v>
      </c>
    </row>
    <row r="1165" spans="1:15" x14ac:dyDescent="0.35">
      <c r="A1165" t="s">
        <v>1223</v>
      </c>
      <c r="B1165" s="1">
        <v>45315</v>
      </c>
      <c r="C1165" t="s">
        <v>20</v>
      </c>
      <c r="D1165" t="s">
        <v>27</v>
      </c>
      <c r="E1165" t="s">
        <v>22</v>
      </c>
      <c r="F1165" t="s">
        <v>42</v>
      </c>
      <c r="G1165" t="s">
        <v>69</v>
      </c>
      <c r="H1165">
        <v>12</v>
      </c>
      <c r="I1165">
        <v>10030.66</v>
      </c>
      <c r="J1165" s="2">
        <v>0.2</v>
      </c>
      <c r="K1165" t="s">
        <v>18</v>
      </c>
      <c r="L1165">
        <v>96294.34</v>
      </c>
      <c r="M1165" t="str">
        <f>TEXT(Table1[[#This Row],[OrderDate]], "mmm")</f>
        <v>Jan</v>
      </c>
      <c r="N1165" t="str">
        <f>IF(Table1[[#This Row],[TotalSales]]&gt;50000,"High",IF(L1165&gt;20000,"Medium","Low"))</f>
        <v>High</v>
      </c>
      <c r="O1165">
        <f>Table1[[#This Row],[TotalSales]]/Table1[[#This Row],[Quantity]]</f>
        <v>8024.5283333333327</v>
      </c>
    </row>
    <row r="1166" spans="1:15" x14ac:dyDescent="0.35">
      <c r="A1166" t="s">
        <v>1224</v>
      </c>
      <c r="B1166" s="1">
        <v>45613</v>
      </c>
      <c r="C1166" t="s">
        <v>20</v>
      </c>
      <c r="D1166" t="s">
        <v>97</v>
      </c>
      <c r="E1166" t="s">
        <v>15</v>
      </c>
      <c r="F1166" t="s">
        <v>16</v>
      </c>
      <c r="G1166" t="s">
        <v>24</v>
      </c>
      <c r="H1166">
        <v>13</v>
      </c>
      <c r="I1166">
        <v>48433.120000000003</v>
      </c>
      <c r="J1166" s="2">
        <v>0</v>
      </c>
      <c r="K1166" t="s">
        <v>25</v>
      </c>
      <c r="L1166">
        <v>629630.56000000006</v>
      </c>
      <c r="M1166" t="str">
        <f>TEXT(Table1[[#This Row],[OrderDate]], "mmm")</f>
        <v>Nov</v>
      </c>
      <c r="N1166" t="str">
        <f>IF(Table1[[#This Row],[TotalSales]]&gt;50000,"High",IF(L1166&gt;20000,"Medium","Low"))</f>
        <v>High</v>
      </c>
      <c r="O1166">
        <f>Table1[[#This Row],[TotalSales]]/Table1[[#This Row],[Quantity]]</f>
        <v>48433.120000000003</v>
      </c>
    </row>
    <row r="1167" spans="1:15" x14ac:dyDescent="0.35">
      <c r="A1167" t="s">
        <v>1225</v>
      </c>
      <c r="B1167" s="1">
        <v>45309</v>
      </c>
      <c r="C1167" t="s">
        <v>20</v>
      </c>
      <c r="D1167" t="s">
        <v>97</v>
      </c>
      <c r="E1167" t="s">
        <v>34</v>
      </c>
      <c r="F1167" t="s">
        <v>35</v>
      </c>
      <c r="G1167" t="s">
        <v>24</v>
      </c>
      <c r="H1167">
        <v>9</v>
      </c>
      <c r="I1167">
        <v>9795.25</v>
      </c>
      <c r="J1167" s="2">
        <v>0.2</v>
      </c>
      <c r="K1167" t="s">
        <v>25</v>
      </c>
      <c r="L1167">
        <v>70525.8</v>
      </c>
      <c r="M1167" t="str">
        <f>TEXT(Table1[[#This Row],[OrderDate]], "mmm")</f>
        <v>Jan</v>
      </c>
      <c r="N1167" t="str">
        <f>IF(Table1[[#This Row],[TotalSales]]&gt;50000,"High",IF(L1167&gt;20000,"Medium","Low"))</f>
        <v>High</v>
      </c>
      <c r="O1167">
        <f>Table1[[#This Row],[TotalSales]]/Table1[[#This Row],[Quantity]]</f>
        <v>7836.2000000000007</v>
      </c>
    </row>
    <row r="1168" spans="1:15" x14ac:dyDescent="0.35">
      <c r="A1168" t="s">
        <v>1226</v>
      </c>
      <c r="B1168" s="1">
        <v>45377</v>
      </c>
      <c r="C1168" t="s">
        <v>20</v>
      </c>
      <c r="D1168" t="s">
        <v>21</v>
      </c>
      <c r="E1168" t="s">
        <v>15</v>
      </c>
      <c r="F1168" t="s">
        <v>38</v>
      </c>
      <c r="G1168" t="s">
        <v>83</v>
      </c>
      <c r="H1168">
        <v>5</v>
      </c>
      <c r="I1168">
        <v>39310.6</v>
      </c>
      <c r="J1168" s="2">
        <v>0.15</v>
      </c>
      <c r="K1168" t="s">
        <v>25</v>
      </c>
      <c r="L1168">
        <v>167070.04999999999</v>
      </c>
      <c r="M1168" t="str">
        <f>TEXT(Table1[[#This Row],[OrderDate]], "mmm")</f>
        <v>Mar</v>
      </c>
      <c r="N1168" t="str">
        <f>IF(Table1[[#This Row],[TotalSales]]&gt;50000,"High",IF(L1168&gt;20000,"Medium","Low"))</f>
        <v>High</v>
      </c>
      <c r="O1168">
        <f>Table1[[#This Row],[TotalSales]]/Table1[[#This Row],[Quantity]]</f>
        <v>33414.009999999995</v>
      </c>
    </row>
    <row r="1169" spans="1:15" x14ac:dyDescent="0.35">
      <c r="A1169" t="s">
        <v>1227</v>
      </c>
      <c r="B1169" s="1">
        <v>45380</v>
      </c>
      <c r="C1169" t="s">
        <v>40</v>
      </c>
      <c r="D1169" t="s">
        <v>41</v>
      </c>
      <c r="E1169" t="s">
        <v>22</v>
      </c>
      <c r="F1169" t="s">
        <v>42</v>
      </c>
      <c r="G1169" t="s">
        <v>43</v>
      </c>
      <c r="H1169">
        <v>10</v>
      </c>
      <c r="I1169">
        <v>46050.61</v>
      </c>
      <c r="J1169" s="2">
        <v>0.05</v>
      </c>
      <c r="K1169" t="s">
        <v>18</v>
      </c>
      <c r="L1169">
        <v>437480.79</v>
      </c>
      <c r="M1169" t="str">
        <f>TEXT(Table1[[#This Row],[OrderDate]], "mmm")</f>
        <v>Mar</v>
      </c>
      <c r="N1169" t="str">
        <f>IF(Table1[[#This Row],[TotalSales]]&gt;50000,"High",IF(L1169&gt;20000,"Medium","Low"))</f>
        <v>High</v>
      </c>
      <c r="O1169">
        <f>Table1[[#This Row],[TotalSales]]/Table1[[#This Row],[Quantity]]</f>
        <v>43748.078999999998</v>
      </c>
    </row>
    <row r="1170" spans="1:15" x14ac:dyDescent="0.35">
      <c r="A1170" t="s">
        <v>1228</v>
      </c>
      <c r="B1170" s="1">
        <v>45530</v>
      </c>
      <c r="C1170" t="s">
        <v>40</v>
      </c>
      <c r="D1170" t="s">
        <v>51</v>
      </c>
      <c r="E1170" t="s">
        <v>34</v>
      </c>
      <c r="F1170" t="s">
        <v>48</v>
      </c>
      <c r="G1170" t="s">
        <v>17</v>
      </c>
      <c r="H1170">
        <v>15</v>
      </c>
      <c r="I1170">
        <v>5188.16</v>
      </c>
      <c r="J1170" s="2">
        <v>0.1</v>
      </c>
      <c r="K1170" t="s">
        <v>25</v>
      </c>
      <c r="L1170">
        <v>70040.160000000003</v>
      </c>
      <c r="M1170" t="str">
        <f>TEXT(Table1[[#This Row],[OrderDate]], "mmm")</f>
        <v>Aug</v>
      </c>
      <c r="N1170" t="str">
        <f>IF(Table1[[#This Row],[TotalSales]]&gt;50000,"High",IF(L1170&gt;20000,"Medium","Low"))</f>
        <v>High</v>
      </c>
      <c r="O1170">
        <f>Table1[[#This Row],[TotalSales]]/Table1[[#This Row],[Quantity]]</f>
        <v>4669.3440000000001</v>
      </c>
    </row>
    <row r="1171" spans="1:15" x14ac:dyDescent="0.35">
      <c r="A1171" t="s">
        <v>1229</v>
      </c>
      <c r="B1171" s="1">
        <v>45384</v>
      </c>
      <c r="C1171" t="s">
        <v>46</v>
      </c>
      <c r="D1171" t="s">
        <v>71</v>
      </c>
      <c r="E1171" t="s">
        <v>34</v>
      </c>
      <c r="F1171" t="s">
        <v>61</v>
      </c>
      <c r="G1171" t="s">
        <v>17</v>
      </c>
      <c r="H1171">
        <v>9</v>
      </c>
      <c r="I1171">
        <v>48193.79</v>
      </c>
      <c r="J1171" s="2">
        <v>0.2</v>
      </c>
      <c r="K1171" t="s">
        <v>18</v>
      </c>
      <c r="L1171">
        <v>346995.29</v>
      </c>
      <c r="M1171" t="str">
        <f>TEXT(Table1[[#This Row],[OrderDate]], "mmm")</f>
        <v>Apr</v>
      </c>
      <c r="N1171" t="str">
        <f>IF(Table1[[#This Row],[TotalSales]]&gt;50000,"High",IF(L1171&gt;20000,"Medium","Low"))</f>
        <v>High</v>
      </c>
      <c r="O1171">
        <f>Table1[[#This Row],[TotalSales]]/Table1[[#This Row],[Quantity]]</f>
        <v>38555.032222222217</v>
      </c>
    </row>
    <row r="1172" spans="1:15" x14ac:dyDescent="0.35">
      <c r="A1172" t="s">
        <v>1230</v>
      </c>
      <c r="B1172" s="1">
        <v>45425</v>
      </c>
      <c r="C1172" t="s">
        <v>46</v>
      </c>
      <c r="D1172" t="s">
        <v>79</v>
      </c>
      <c r="E1172" t="s">
        <v>15</v>
      </c>
      <c r="F1172" t="s">
        <v>56</v>
      </c>
      <c r="G1172" t="s">
        <v>69</v>
      </c>
      <c r="H1172">
        <v>6</v>
      </c>
      <c r="I1172">
        <v>30280.13</v>
      </c>
      <c r="J1172" s="2">
        <v>0.2</v>
      </c>
      <c r="K1172" t="s">
        <v>31</v>
      </c>
      <c r="L1172">
        <v>145344.62</v>
      </c>
      <c r="M1172" t="str">
        <f>TEXT(Table1[[#This Row],[OrderDate]], "mmm")</f>
        <v>May</v>
      </c>
      <c r="N1172" t="str">
        <f>IF(Table1[[#This Row],[TotalSales]]&gt;50000,"High",IF(L1172&gt;20000,"Medium","Low"))</f>
        <v>High</v>
      </c>
      <c r="O1172">
        <f>Table1[[#This Row],[TotalSales]]/Table1[[#This Row],[Quantity]]</f>
        <v>24224.103333333333</v>
      </c>
    </row>
    <row r="1173" spans="1:15" x14ac:dyDescent="0.35">
      <c r="A1173" t="s">
        <v>1231</v>
      </c>
      <c r="B1173" s="1">
        <v>45616</v>
      </c>
      <c r="C1173" t="s">
        <v>46</v>
      </c>
      <c r="D1173" t="s">
        <v>79</v>
      </c>
      <c r="E1173" t="s">
        <v>22</v>
      </c>
      <c r="F1173" t="s">
        <v>82</v>
      </c>
      <c r="G1173" t="s">
        <v>43</v>
      </c>
      <c r="H1173">
        <v>9</v>
      </c>
      <c r="I1173">
        <v>4592.6000000000004</v>
      </c>
      <c r="J1173" s="2">
        <v>0.2</v>
      </c>
      <c r="K1173" t="s">
        <v>31</v>
      </c>
      <c r="L1173">
        <v>33066.720000000001</v>
      </c>
      <c r="M1173" t="str">
        <f>TEXT(Table1[[#This Row],[OrderDate]], "mmm")</f>
        <v>Nov</v>
      </c>
      <c r="N1173" t="str">
        <f>IF(Table1[[#This Row],[TotalSales]]&gt;50000,"High",IF(L1173&gt;20000,"Medium","Low"))</f>
        <v>Medium</v>
      </c>
      <c r="O1173">
        <f>Table1[[#This Row],[TotalSales]]/Table1[[#This Row],[Quantity]]</f>
        <v>3674.08</v>
      </c>
    </row>
    <row r="1174" spans="1:15" x14ac:dyDescent="0.35">
      <c r="A1174" t="s">
        <v>1232</v>
      </c>
      <c r="B1174" s="1">
        <v>45307</v>
      </c>
      <c r="C1174" t="s">
        <v>46</v>
      </c>
      <c r="D1174" t="s">
        <v>71</v>
      </c>
      <c r="E1174" t="s">
        <v>15</v>
      </c>
      <c r="F1174" t="s">
        <v>16</v>
      </c>
      <c r="G1174" t="s">
        <v>30</v>
      </c>
      <c r="H1174">
        <v>2</v>
      </c>
      <c r="I1174">
        <v>17872.810000000001</v>
      </c>
      <c r="J1174" s="2">
        <v>0.2</v>
      </c>
      <c r="K1174" t="s">
        <v>31</v>
      </c>
      <c r="L1174">
        <v>28596.5</v>
      </c>
      <c r="M1174" t="str">
        <f>TEXT(Table1[[#This Row],[OrderDate]], "mmm")</f>
        <v>Jan</v>
      </c>
      <c r="N1174" t="str">
        <f>IF(Table1[[#This Row],[TotalSales]]&gt;50000,"High",IF(L1174&gt;20000,"Medium","Low"))</f>
        <v>Medium</v>
      </c>
      <c r="O1174">
        <f>Table1[[#This Row],[TotalSales]]/Table1[[#This Row],[Quantity]]</f>
        <v>14298.25</v>
      </c>
    </row>
    <row r="1175" spans="1:15" x14ac:dyDescent="0.35">
      <c r="A1175" t="s">
        <v>1233</v>
      </c>
      <c r="B1175" s="1">
        <v>45601</v>
      </c>
      <c r="C1175" t="s">
        <v>46</v>
      </c>
      <c r="D1175" t="s">
        <v>71</v>
      </c>
      <c r="E1175" t="s">
        <v>34</v>
      </c>
      <c r="F1175" t="s">
        <v>48</v>
      </c>
      <c r="G1175" t="s">
        <v>49</v>
      </c>
      <c r="H1175">
        <v>1</v>
      </c>
      <c r="I1175">
        <v>39613.550000000003</v>
      </c>
      <c r="J1175" s="2">
        <v>0</v>
      </c>
      <c r="K1175" t="s">
        <v>44</v>
      </c>
      <c r="L1175">
        <v>39613.550000000003</v>
      </c>
      <c r="M1175" t="str">
        <f>TEXT(Table1[[#This Row],[OrderDate]], "mmm")</f>
        <v>Nov</v>
      </c>
      <c r="N1175" t="str">
        <f>IF(Table1[[#This Row],[TotalSales]]&gt;50000,"High",IF(L1175&gt;20000,"Medium","Low"))</f>
        <v>Medium</v>
      </c>
      <c r="O1175">
        <f>Table1[[#This Row],[TotalSales]]/Table1[[#This Row],[Quantity]]</f>
        <v>39613.550000000003</v>
      </c>
    </row>
    <row r="1176" spans="1:15" x14ac:dyDescent="0.35">
      <c r="A1176" t="s">
        <v>1234</v>
      </c>
      <c r="B1176" s="1">
        <v>45367</v>
      </c>
      <c r="C1176" t="s">
        <v>46</v>
      </c>
      <c r="D1176" t="s">
        <v>71</v>
      </c>
      <c r="E1176" t="s">
        <v>28</v>
      </c>
      <c r="F1176" t="s">
        <v>125</v>
      </c>
      <c r="G1176" t="s">
        <v>24</v>
      </c>
      <c r="H1176">
        <v>10</v>
      </c>
      <c r="I1176">
        <v>36814.269999999997</v>
      </c>
      <c r="J1176" s="2">
        <v>0.1</v>
      </c>
      <c r="K1176" t="s">
        <v>44</v>
      </c>
      <c r="L1176">
        <v>331328.43</v>
      </c>
      <c r="M1176" t="str">
        <f>TEXT(Table1[[#This Row],[OrderDate]], "mmm")</f>
        <v>Mar</v>
      </c>
      <c r="N1176" t="str">
        <f>IF(Table1[[#This Row],[TotalSales]]&gt;50000,"High",IF(L1176&gt;20000,"Medium","Low"))</f>
        <v>High</v>
      </c>
      <c r="O1176">
        <f>Table1[[#This Row],[TotalSales]]/Table1[[#This Row],[Quantity]]</f>
        <v>33132.843000000001</v>
      </c>
    </row>
    <row r="1177" spans="1:15" x14ac:dyDescent="0.35">
      <c r="A1177" t="s">
        <v>1235</v>
      </c>
      <c r="B1177" s="1">
        <v>45312</v>
      </c>
      <c r="C1177" t="s">
        <v>40</v>
      </c>
      <c r="D1177" t="s">
        <v>41</v>
      </c>
      <c r="E1177" t="s">
        <v>15</v>
      </c>
      <c r="F1177" t="s">
        <v>56</v>
      </c>
      <c r="G1177" t="s">
        <v>66</v>
      </c>
      <c r="H1177">
        <v>9</v>
      </c>
      <c r="I1177">
        <v>24021.01</v>
      </c>
      <c r="J1177" s="2">
        <v>0</v>
      </c>
      <c r="K1177" t="s">
        <v>44</v>
      </c>
      <c r="L1177">
        <v>216189.09</v>
      </c>
      <c r="M1177" t="str">
        <f>TEXT(Table1[[#This Row],[OrderDate]], "mmm")</f>
        <v>Jan</v>
      </c>
      <c r="N1177" t="str">
        <f>IF(Table1[[#This Row],[TotalSales]]&gt;50000,"High",IF(L1177&gt;20000,"Medium","Low"))</f>
        <v>High</v>
      </c>
      <c r="O1177">
        <f>Table1[[#This Row],[TotalSales]]/Table1[[#This Row],[Quantity]]</f>
        <v>24021.01</v>
      </c>
    </row>
    <row r="1178" spans="1:15" x14ac:dyDescent="0.35">
      <c r="A1178" t="s">
        <v>1236</v>
      </c>
      <c r="B1178" s="1">
        <v>45556</v>
      </c>
      <c r="C1178" t="s">
        <v>13</v>
      </c>
      <c r="D1178" t="s">
        <v>33</v>
      </c>
      <c r="E1178" t="s">
        <v>28</v>
      </c>
      <c r="F1178" t="s">
        <v>76</v>
      </c>
      <c r="G1178" t="s">
        <v>69</v>
      </c>
      <c r="H1178">
        <v>5</v>
      </c>
      <c r="I1178">
        <v>29245.93</v>
      </c>
      <c r="J1178" s="2">
        <v>0.05</v>
      </c>
      <c r="K1178" t="s">
        <v>44</v>
      </c>
      <c r="L1178">
        <v>138918.17000000001</v>
      </c>
      <c r="M1178" t="str">
        <f>TEXT(Table1[[#This Row],[OrderDate]], "mmm")</f>
        <v>Sep</v>
      </c>
      <c r="N1178" t="str">
        <f>IF(Table1[[#This Row],[TotalSales]]&gt;50000,"High",IF(L1178&gt;20000,"Medium","Low"))</f>
        <v>High</v>
      </c>
      <c r="O1178">
        <f>Table1[[#This Row],[TotalSales]]/Table1[[#This Row],[Quantity]]</f>
        <v>27783.634000000002</v>
      </c>
    </row>
    <row r="1179" spans="1:15" x14ac:dyDescent="0.35">
      <c r="A1179" t="s">
        <v>1237</v>
      </c>
      <c r="B1179" s="1">
        <v>45379</v>
      </c>
      <c r="C1179" t="s">
        <v>13</v>
      </c>
      <c r="D1179" t="s">
        <v>37</v>
      </c>
      <c r="E1179" t="s">
        <v>28</v>
      </c>
      <c r="F1179" t="s">
        <v>76</v>
      </c>
      <c r="G1179" t="s">
        <v>69</v>
      </c>
      <c r="H1179">
        <v>13</v>
      </c>
      <c r="I1179">
        <v>31810.02</v>
      </c>
      <c r="J1179" s="2">
        <v>0.15</v>
      </c>
      <c r="K1179" t="s">
        <v>18</v>
      </c>
      <c r="L1179">
        <v>351500.72</v>
      </c>
      <c r="M1179" t="str">
        <f>TEXT(Table1[[#This Row],[OrderDate]], "mmm")</f>
        <v>Mar</v>
      </c>
      <c r="N1179" t="str">
        <f>IF(Table1[[#This Row],[TotalSales]]&gt;50000,"High",IF(L1179&gt;20000,"Medium","Low"))</f>
        <v>High</v>
      </c>
      <c r="O1179">
        <f>Table1[[#This Row],[TotalSales]]/Table1[[#This Row],[Quantity]]</f>
        <v>27038.516923076921</v>
      </c>
    </row>
    <row r="1180" spans="1:15" x14ac:dyDescent="0.35">
      <c r="A1180" t="s">
        <v>1238</v>
      </c>
      <c r="B1180" s="1">
        <v>45611</v>
      </c>
      <c r="C1180" t="s">
        <v>13</v>
      </c>
      <c r="D1180" t="s">
        <v>14</v>
      </c>
      <c r="E1180" t="s">
        <v>34</v>
      </c>
      <c r="F1180" t="s">
        <v>88</v>
      </c>
      <c r="G1180" t="s">
        <v>43</v>
      </c>
      <c r="H1180">
        <v>13</v>
      </c>
      <c r="I1180">
        <v>35066.22</v>
      </c>
      <c r="J1180" s="2">
        <v>0.2</v>
      </c>
      <c r="K1180" t="s">
        <v>31</v>
      </c>
      <c r="L1180">
        <v>364688.69</v>
      </c>
      <c r="M1180" t="str">
        <f>TEXT(Table1[[#This Row],[OrderDate]], "mmm")</f>
        <v>Nov</v>
      </c>
      <c r="N1180" t="str">
        <f>IF(Table1[[#This Row],[TotalSales]]&gt;50000,"High",IF(L1180&gt;20000,"Medium","Low"))</f>
        <v>High</v>
      </c>
      <c r="O1180">
        <f>Table1[[#This Row],[TotalSales]]/Table1[[#This Row],[Quantity]]</f>
        <v>28052.976153846153</v>
      </c>
    </row>
    <row r="1181" spans="1:15" x14ac:dyDescent="0.35">
      <c r="A1181" t="s">
        <v>1239</v>
      </c>
      <c r="B1181" s="1">
        <v>45562</v>
      </c>
      <c r="C1181" t="s">
        <v>46</v>
      </c>
      <c r="D1181" t="s">
        <v>71</v>
      </c>
      <c r="E1181" t="s">
        <v>34</v>
      </c>
      <c r="F1181" t="s">
        <v>48</v>
      </c>
      <c r="G1181" t="s">
        <v>30</v>
      </c>
      <c r="H1181">
        <v>12</v>
      </c>
      <c r="I1181">
        <v>472.45</v>
      </c>
      <c r="J1181" s="2">
        <v>0.15</v>
      </c>
      <c r="K1181" t="s">
        <v>25</v>
      </c>
      <c r="L1181">
        <v>4818.99</v>
      </c>
      <c r="M1181" t="str">
        <f>TEXT(Table1[[#This Row],[OrderDate]], "mmm")</f>
        <v>Sep</v>
      </c>
      <c r="N1181" t="str">
        <f>IF(Table1[[#This Row],[TotalSales]]&gt;50000,"High",IF(L1181&gt;20000,"Medium","Low"))</f>
        <v>Low</v>
      </c>
      <c r="O1181">
        <f>Table1[[#This Row],[TotalSales]]/Table1[[#This Row],[Quantity]]</f>
        <v>401.58249999999998</v>
      </c>
    </row>
    <row r="1182" spans="1:15" x14ac:dyDescent="0.35">
      <c r="A1182" t="s">
        <v>1240</v>
      </c>
      <c r="B1182" s="1">
        <v>45388</v>
      </c>
      <c r="C1182" t="s">
        <v>40</v>
      </c>
      <c r="D1182" t="s">
        <v>51</v>
      </c>
      <c r="E1182" t="s">
        <v>22</v>
      </c>
      <c r="F1182" t="s">
        <v>42</v>
      </c>
      <c r="G1182" t="s">
        <v>49</v>
      </c>
      <c r="H1182">
        <v>9</v>
      </c>
      <c r="I1182">
        <v>35696.29</v>
      </c>
      <c r="J1182" s="2">
        <v>0.05</v>
      </c>
      <c r="K1182" t="s">
        <v>18</v>
      </c>
      <c r="L1182">
        <v>305203.28000000003</v>
      </c>
      <c r="M1182" t="str">
        <f>TEXT(Table1[[#This Row],[OrderDate]], "mmm")</f>
        <v>Apr</v>
      </c>
      <c r="N1182" t="str">
        <f>IF(Table1[[#This Row],[TotalSales]]&gt;50000,"High",IF(L1182&gt;20000,"Medium","Low"))</f>
        <v>High</v>
      </c>
      <c r="O1182">
        <f>Table1[[#This Row],[TotalSales]]/Table1[[#This Row],[Quantity]]</f>
        <v>33911.47555555556</v>
      </c>
    </row>
    <row r="1183" spans="1:15" x14ac:dyDescent="0.35">
      <c r="A1183" t="s">
        <v>1241</v>
      </c>
      <c r="B1183" s="1">
        <v>45302</v>
      </c>
      <c r="C1183" t="s">
        <v>13</v>
      </c>
      <c r="D1183" t="s">
        <v>14</v>
      </c>
      <c r="E1183" t="s">
        <v>28</v>
      </c>
      <c r="F1183" t="s">
        <v>104</v>
      </c>
      <c r="G1183" t="s">
        <v>69</v>
      </c>
      <c r="H1183">
        <v>4</v>
      </c>
      <c r="I1183">
        <v>48393.65</v>
      </c>
      <c r="J1183" s="2">
        <v>0.2</v>
      </c>
      <c r="K1183" t="s">
        <v>31</v>
      </c>
      <c r="L1183">
        <v>154859.68</v>
      </c>
      <c r="M1183" t="str">
        <f>TEXT(Table1[[#This Row],[OrderDate]], "mmm")</f>
        <v>Jan</v>
      </c>
      <c r="N1183" t="str">
        <f>IF(Table1[[#This Row],[TotalSales]]&gt;50000,"High",IF(L1183&gt;20000,"Medium","Low"))</f>
        <v>High</v>
      </c>
      <c r="O1183">
        <f>Table1[[#This Row],[TotalSales]]/Table1[[#This Row],[Quantity]]</f>
        <v>38714.92</v>
      </c>
    </row>
    <row r="1184" spans="1:15" x14ac:dyDescent="0.35">
      <c r="A1184" t="s">
        <v>1242</v>
      </c>
      <c r="B1184" s="1">
        <v>45312</v>
      </c>
      <c r="C1184" t="s">
        <v>46</v>
      </c>
      <c r="D1184" t="s">
        <v>79</v>
      </c>
      <c r="E1184" t="s">
        <v>28</v>
      </c>
      <c r="F1184" t="s">
        <v>29</v>
      </c>
      <c r="G1184" t="s">
        <v>43</v>
      </c>
      <c r="H1184">
        <v>14</v>
      </c>
      <c r="I1184">
        <v>21582.09</v>
      </c>
      <c r="J1184" s="2">
        <v>0.15</v>
      </c>
      <c r="K1184" t="s">
        <v>18</v>
      </c>
      <c r="L1184">
        <v>256826.87</v>
      </c>
      <c r="M1184" t="str">
        <f>TEXT(Table1[[#This Row],[OrderDate]], "mmm")</f>
        <v>Jan</v>
      </c>
      <c r="N1184" t="str">
        <f>IF(Table1[[#This Row],[TotalSales]]&gt;50000,"High",IF(L1184&gt;20000,"Medium","Low"))</f>
        <v>High</v>
      </c>
      <c r="O1184">
        <f>Table1[[#This Row],[TotalSales]]/Table1[[#This Row],[Quantity]]</f>
        <v>18344.776428571429</v>
      </c>
    </row>
    <row r="1185" spans="1:15" x14ac:dyDescent="0.35">
      <c r="A1185" t="s">
        <v>1243</v>
      </c>
      <c r="B1185" s="1">
        <v>45570</v>
      </c>
      <c r="C1185" t="s">
        <v>13</v>
      </c>
      <c r="D1185" t="s">
        <v>37</v>
      </c>
      <c r="E1185" t="s">
        <v>34</v>
      </c>
      <c r="F1185" t="s">
        <v>61</v>
      </c>
      <c r="G1185" t="s">
        <v>66</v>
      </c>
      <c r="H1185">
        <v>11</v>
      </c>
      <c r="I1185">
        <v>10445.15</v>
      </c>
      <c r="J1185" s="2">
        <v>0</v>
      </c>
      <c r="K1185" t="s">
        <v>44</v>
      </c>
      <c r="L1185">
        <v>114896.65</v>
      </c>
      <c r="M1185" t="str">
        <f>TEXT(Table1[[#This Row],[OrderDate]], "mmm")</f>
        <v>Oct</v>
      </c>
      <c r="N1185" t="str">
        <f>IF(Table1[[#This Row],[TotalSales]]&gt;50000,"High",IF(L1185&gt;20000,"Medium","Low"))</f>
        <v>High</v>
      </c>
      <c r="O1185">
        <f>Table1[[#This Row],[TotalSales]]/Table1[[#This Row],[Quantity]]</f>
        <v>10445.15</v>
      </c>
    </row>
    <row r="1186" spans="1:15" x14ac:dyDescent="0.35">
      <c r="A1186" t="s">
        <v>1244</v>
      </c>
      <c r="B1186" s="1">
        <v>45586</v>
      </c>
      <c r="C1186" t="s">
        <v>13</v>
      </c>
      <c r="D1186" t="s">
        <v>33</v>
      </c>
      <c r="E1186" t="s">
        <v>34</v>
      </c>
      <c r="F1186" t="s">
        <v>48</v>
      </c>
      <c r="G1186" t="s">
        <v>24</v>
      </c>
      <c r="H1186">
        <v>14</v>
      </c>
      <c r="I1186">
        <v>29263.45</v>
      </c>
      <c r="J1186" s="2">
        <v>0</v>
      </c>
      <c r="K1186" t="s">
        <v>44</v>
      </c>
      <c r="L1186">
        <v>409688.3</v>
      </c>
      <c r="M1186" t="str">
        <f>TEXT(Table1[[#This Row],[OrderDate]], "mmm")</f>
        <v>Oct</v>
      </c>
      <c r="N1186" t="str">
        <f>IF(Table1[[#This Row],[TotalSales]]&gt;50000,"High",IF(L1186&gt;20000,"Medium","Low"))</f>
        <v>High</v>
      </c>
      <c r="O1186">
        <f>Table1[[#This Row],[TotalSales]]/Table1[[#This Row],[Quantity]]</f>
        <v>29263.45</v>
      </c>
    </row>
    <row r="1187" spans="1:15" x14ac:dyDescent="0.35">
      <c r="A1187" t="s">
        <v>1245</v>
      </c>
      <c r="B1187" s="1">
        <v>45648</v>
      </c>
      <c r="C1187" t="s">
        <v>40</v>
      </c>
      <c r="D1187" t="s">
        <v>51</v>
      </c>
      <c r="E1187" t="s">
        <v>28</v>
      </c>
      <c r="F1187" t="s">
        <v>125</v>
      </c>
      <c r="G1187" t="s">
        <v>69</v>
      </c>
      <c r="H1187">
        <v>1</v>
      </c>
      <c r="I1187">
        <v>37117.54</v>
      </c>
      <c r="J1187" s="2">
        <v>0</v>
      </c>
      <c r="K1187" t="s">
        <v>18</v>
      </c>
      <c r="L1187">
        <v>37117.54</v>
      </c>
      <c r="M1187" t="str">
        <f>TEXT(Table1[[#This Row],[OrderDate]], "mmm")</f>
        <v>Dec</v>
      </c>
      <c r="N1187" t="str">
        <f>IF(Table1[[#This Row],[TotalSales]]&gt;50000,"High",IF(L1187&gt;20000,"Medium","Low"))</f>
        <v>Medium</v>
      </c>
      <c r="O1187">
        <f>Table1[[#This Row],[TotalSales]]/Table1[[#This Row],[Quantity]]</f>
        <v>37117.54</v>
      </c>
    </row>
    <row r="1188" spans="1:15" x14ac:dyDescent="0.35">
      <c r="A1188" t="s">
        <v>1246</v>
      </c>
      <c r="B1188" s="1">
        <v>45561</v>
      </c>
      <c r="C1188" t="s">
        <v>13</v>
      </c>
      <c r="D1188" t="s">
        <v>14</v>
      </c>
      <c r="E1188" t="s">
        <v>22</v>
      </c>
      <c r="F1188" t="s">
        <v>42</v>
      </c>
      <c r="G1188" t="s">
        <v>17</v>
      </c>
      <c r="H1188">
        <v>5</v>
      </c>
      <c r="I1188">
        <v>32374.26</v>
      </c>
      <c r="J1188" s="2">
        <v>0.15</v>
      </c>
      <c r="K1188" t="s">
        <v>31</v>
      </c>
      <c r="L1188">
        <v>137590.6</v>
      </c>
      <c r="M1188" t="str">
        <f>TEXT(Table1[[#This Row],[OrderDate]], "mmm")</f>
        <v>Sep</v>
      </c>
      <c r="N1188" t="str">
        <f>IF(Table1[[#This Row],[TotalSales]]&gt;50000,"High",IF(L1188&gt;20000,"Medium","Low"))</f>
        <v>High</v>
      </c>
      <c r="O1188">
        <f>Table1[[#This Row],[TotalSales]]/Table1[[#This Row],[Quantity]]</f>
        <v>27518.120000000003</v>
      </c>
    </row>
    <row r="1189" spans="1:15" x14ac:dyDescent="0.35">
      <c r="A1189" t="s">
        <v>1247</v>
      </c>
      <c r="B1189" s="1">
        <v>45316</v>
      </c>
      <c r="C1189" t="s">
        <v>46</v>
      </c>
      <c r="D1189" t="s">
        <v>71</v>
      </c>
      <c r="E1189" t="s">
        <v>34</v>
      </c>
      <c r="F1189" t="s">
        <v>88</v>
      </c>
      <c r="G1189" t="s">
        <v>66</v>
      </c>
      <c r="H1189">
        <v>10</v>
      </c>
      <c r="I1189">
        <v>53662.35</v>
      </c>
      <c r="J1189" s="2">
        <v>0</v>
      </c>
      <c r="K1189" t="s">
        <v>44</v>
      </c>
      <c r="L1189">
        <v>536623.5</v>
      </c>
      <c r="M1189" t="str">
        <f>TEXT(Table1[[#This Row],[OrderDate]], "mmm")</f>
        <v>Jan</v>
      </c>
      <c r="N1189" t="str">
        <f>IF(Table1[[#This Row],[TotalSales]]&gt;50000,"High",IF(L1189&gt;20000,"Medium","Low"))</f>
        <v>High</v>
      </c>
      <c r="O1189">
        <f>Table1[[#This Row],[TotalSales]]/Table1[[#This Row],[Quantity]]</f>
        <v>53662.35</v>
      </c>
    </row>
    <row r="1190" spans="1:15" x14ac:dyDescent="0.35">
      <c r="A1190" t="s">
        <v>1248</v>
      </c>
      <c r="B1190" s="1">
        <v>45331</v>
      </c>
      <c r="C1190" t="s">
        <v>40</v>
      </c>
      <c r="D1190" t="s">
        <v>55</v>
      </c>
      <c r="E1190" t="s">
        <v>22</v>
      </c>
      <c r="F1190" t="s">
        <v>23</v>
      </c>
      <c r="G1190" t="s">
        <v>17</v>
      </c>
      <c r="H1190">
        <v>2</v>
      </c>
      <c r="I1190">
        <v>50513.55</v>
      </c>
      <c r="J1190" s="2">
        <v>0.1</v>
      </c>
      <c r="K1190" t="s">
        <v>25</v>
      </c>
      <c r="L1190">
        <v>90924.39</v>
      </c>
      <c r="M1190" t="str">
        <f>TEXT(Table1[[#This Row],[OrderDate]], "mmm")</f>
        <v>Feb</v>
      </c>
      <c r="N1190" t="str">
        <f>IF(Table1[[#This Row],[TotalSales]]&gt;50000,"High",IF(L1190&gt;20000,"Medium","Low"))</f>
        <v>High</v>
      </c>
      <c r="O1190">
        <f>Table1[[#This Row],[TotalSales]]/Table1[[#This Row],[Quantity]]</f>
        <v>45462.195</v>
      </c>
    </row>
    <row r="1191" spans="1:15" x14ac:dyDescent="0.35">
      <c r="A1191" t="s">
        <v>1249</v>
      </c>
      <c r="B1191" s="1">
        <v>45398</v>
      </c>
      <c r="C1191" t="s">
        <v>46</v>
      </c>
      <c r="D1191" t="s">
        <v>47</v>
      </c>
      <c r="E1191" t="s">
        <v>34</v>
      </c>
      <c r="F1191" t="s">
        <v>35</v>
      </c>
      <c r="G1191" t="s">
        <v>24</v>
      </c>
      <c r="H1191">
        <v>14</v>
      </c>
      <c r="I1191">
        <v>1656</v>
      </c>
      <c r="J1191" s="2">
        <v>0.2</v>
      </c>
      <c r="K1191" t="s">
        <v>31</v>
      </c>
      <c r="L1191">
        <v>18547.2</v>
      </c>
      <c r="M1191" t="str">
        <f>TEXT(Table1[[#This Row],[OrderDate]], "mmm")</f>
        <v>Apr</v>
      </c>
      <c r="N1191" t="str">
        <f>IF(Table1[[#This Row],[TotalSales]]&gt;50000,"High",IF(L1191&gt;20000,"Medium","Low"))</f>
        <v>Low</v>
      </c>
      <c r="O1191">
        <f>Table1[[#This Row],[TotalSales]]/Table1[[#This Row],[Quantity]]</f>
        <v>1324.8</v>
      </c>
    </row>
    <row r="1192" spans="1:15" x14ac:dyDescent="0.35">
      <c r="A1192" t="s">
        <v>1250</v>
      </c>
      <c r="B1192" s="1">
        <v>45618</v>
      </c>
      <c r="C1192" t="s">
        <v>13</v>
      </c>
      <c r="D1192" t="s">
        <v>37</v>
      </c>
      <c r="E1192" t="s">
        <v>22</v>
      </c>
      <c r="F1192" t="s">
        <v>82</v>
      </c>
      <c r="G1192" t="s">
        <v>66</v>
      </c>
      <c r="H1192">
        <v>12</v>
      </c>
      <c r="I1192">
        <v>27454.87</v>
      </c>
      <c r="J1192" s="2">
        <v>0.15</v>
      </c>
      <c r="K1192" t="s">
        <v>31</v>
      </c>
      <c r="L1192">
        <v>280039.67</v>
      </c>
      <c r="M1192" t="str">
        <f>TEXT(Table1[[#This Row],[OrderDate]], "mmm")</f>
        <v>Nov</v>
      </c>
      <c r="N1192" t="str">
        <f>IF(Table1[[#This Row],[TotalSales]]&gt;50000,"High",IF(L1192&gt;20000,"Medium","Low"))</f>
        <v>High</v>
      </c>
      <c r="O1192">
        <f>Table1[[#This Row],[TotalSales]]/Table1[[#This Row],[Quantity]]</f>
        <v>23336.639166666664</v>
      </c>
    </row>
    <row r="1193" spans="1:15" x14ac:dyDescent="0.35">
      <c r="A1193" t="s">
        <v>1251</v>
      </c>
      <c r="B1193" s="1">
        <v>45469</v>
      </c>
      <c r="C1193" t="s">
        <v>13</v>
      </c>
      <c r="D1193" t="s">
        <v>33</v>
      </c>
      <c r="E1193" t="s">
        <v>22</v>
      </c>
      <c r="F1193" t="s">
        <v>82</v>
      </c>
      <c r="G1193" t="s">
        <v>49</v>
      </c>
      <c r="H1193">
        <v>3</v>
      </c>
      <c r="I1193">
        <v>48746.44</v>
      </c>
      <c r="J1193" s="2">
        <v>0</v>
      </c>
      <c r="K1193" t="s">
        <v>31</v>
      </c>
      <c r="L1193">
        <v>146239.32</v>
      </c>
      <c r="M1193" t="str">
        <f>TEXT(Table1[[#This Row],[OrderDate]], "mmm")</f>
        <v>Jun</v>
      </c>
      <c r="N1193" t="str">
        <f>IF(Table1[[#This Row],[TotalSales]]&gt;50000,"High",IF(L1193&gt;20000,"Medium","Low"))</f>
        <v>High</v>
      </c>
      <c r="O1193">
        <f>Table1[[#This Row],[TotalSales]]/Table1[[#This Row],[Quantity]]</f>
        <v>48746.44</v>
      </c>
    </row>
    <row r="1194" spans="1:15" x14ac:dyDescent="0.35">
      <c r="A1194" t="s">
        <v>1252</v>
      </c>
      <c r="B1194" s="1">
        <v>45563</v>
      </c>
      <c r="C1194" t="s">
        <v>20</v>
      </c>
      <c r="D1194" t="s">
        <v>97</v>
      </c>
      <c r="E1194" t="s">
        <v>28</v>
      </c>
      <c r="F1194" t="s">
        <v>125</v>
      </c>
      <c r="G1194" t="s">
        <v>24</v>
      </c>
      <c r="H1194">
        <v>8</v>
      </c>
      <c r="I1194">
        <v>18993.68</v>
      </c>
      <c r="J1194" s="2">
        <v>0</v>
      </c>
      <c r="K1194" t="s">
        <v>18</v>
      </c>
      <c r="L1194">
        <v>151949.44</v>
      </c>
      <c r="M1194" t="str">
        <f>TEXT(Table1[[#This Row],[OrderDate]], "mmm")</f>
        <v>Sep</v>
      </c>
      <c r="N1194" t="str">
        <f>IF(Table1[[#This Row],[TotalSales]]&gt;50000,"High",IF(L1194&gt;20000,"Medium","Low"))</f>
        <v>High</v>
      </c>
      <c r="O1194">
        <f>Table1[[#This Row],[TotalSales]]/Table1[[#This Row],[Quantity]]</f>
        <v>18993.68</v>
      </c>
    </row>
    <row r="1195" spans="1:15" x14ac:dyDescent="0.35">
      <c r="A1195" t="s">
        <v>1253</v>
      </c>
      <c r="B1195" s="1">
        <v>45432</v>
      </c>
      <c r="C1195" t="s">
        <v>20</v>
      </c>
      <c r="D1195" t="s">
        <v>97</v>
      </c>
      <c r="E1195" t="s">
        <v>22</v>
      </c>
      <c r="F1195" t="s">
        <v>23</v>
      </c>
      <c r="G1195" t="s">
        <v>49</v>
      </c>
      <c r="H1195">
        <v>6</v>
      </c>
      <c r="I1195">
        <v>18705.669999999998</v>
      </c>
      <c r="J1195" s="2">
        <v>0</v>
      </c>
      <c r="K1195" t="s">
        <v>18</v>
      </c>
      <c r="L1195">
        <v>112234.02</v>
      </c>
      <c r="M1195" t="str">
        <f>TEXT(Table1[[#This Row],[OrderDate]], "mmm")</f>
        <v>May</v>
      </c>
      <c r="N1195" t="str">
        <f>IF(Table1[[#This Row],[TotalSales]]&gt;50000,"High",IF(L1195&gt;20000,"Medium","Low"))</f>
        <v>High</v>
      </c>
      <c r="O1195">
        <f>Table1[[#This Row],[TotalSales]]/Table1[[#This Row],[Quantity]]</f>
        <v>18705.670000000002</v>
      </c>
    </row>
    <row r="1196" spans="1:15" x14ac:dyDescent="0.35">
      <c r="A1196" t="s">
        <v>1254</v>
      </c>
      <c r="B1196" s="1">
        <v>45302</v>
      </c>
      <c r="C1196" t="s">
        <v>13</v>
      </c>
      <c r="D1196" t="s">
        <v>33</v>
      </c>
      <c r="E1196" t="s">
        <v>34</v>
      </c>
      <c r="F1196" t="s">
        <v>35</v>
      </c>
      <c r="G1196" t="s">
        <v>43</v>
      </c>
      <c r="H1196">
        <v>13</v>
      </c>
      <c r="I1196">
        <v>43603.360000000001</v>
      </c>
      <c r="J1196" s="2">
        <v>0</v>
      </c>
      <c r="K1196" t="s">
        <v>31</v>
      </c>
      <c r="L1196">
        <v>566843.68000000005</v>
      </c>
      <c r="M1196" t="str">
        <f>TEXT(Table1[[#This Row],[OrderDate]], "mmm")</f>
        <v>Jan</v>
      </c>
      <c r="N1196" t="str">
        <f>IF(Table1[[#This Row],[TotalSales]]&gt;50000,"High",IF(L1196&gt;20000,"Medium","Low"))</f>
        <v>High</v>
      </c>
      <c r="O1196">
        <f>Table1[[#This Row],[TotalSales]]/Table1[[#This Row],[Quantity]]</f>
        <v>43603.360000000001</v>
      </c>
    </row>
    <row r="1197" spans="1:15" x14ac:dyDescent="0.35">
      <c r="A1197" t="s">
        <v>1255</v>
      </c>
      <c r="B1197" s="1">
        <v>45313</v>
      </c>
      <c r="C1197" t="s">
        <v>40</v>
      </c>
      <c r="D1197" t="s">
        <v>55</v>
      </c>
      <c r="E1197" t="s">
        <v>15</v>
      </c>
      <c r="F1197" t="s">
        <v>59</v>
      </c>
      <c r="G1197" t="s">
        <v>17</v>
      </c>
      <c r="H1197">
        <v>4</v>
      </c>
      <c r="I1197">
        <v>48140.63</v>
      </c>
      <c r="J1197" s="2">
        <v>0</v>
      </c>
      <c r="K1197" t="s">
        <v>31</v>
      </c>
      <c r="L1197">
        <v>192562.52</v>
      </c>
      <c r="M1197" t="str">
        <f>TEXT(Table1[[#This Row],[OrderDate]], "mmm")</f>
        <v>Jan</v>
      </c>
      <c r="N1197" t="str">
        <f>IF(Table1[[#This Row],[TotalSales]]&gt;50000,"High",IF(L1197&gt;20000,"Medium","Low"))</f>
        <v>High</v>
      </c>
      <c r="O1197">
        <f>Table1[[#This Row],[TotalSales]]/Table1[[#This Row],[Quantity]]</f>
        <v>48140.63</v>
      </c>
    </row>
    <row r="1198" spans="1:15" x14ac:dyDescent="0.35">
      <c r="A1198" t="s">
        <v>1256</v>
      </c>
      <c r="B1198" s="1">
        <v>45456</v>
      </c>
      <c r="C1198" t="s">
        <v>40</v>
      </c>
      <c r="D1198" t="s">
        <v>55</v>
      </c>
      <c r="E1198" t="s">
        <v>34</v>
      </c>
      <c r="F1198" t="s">
        <v>61</v>
      </c>
      <c r="G1198" t="s">
        <v>66</v>
      </c>
      <c r="H1198">
        <v>12</v>
      </c>
      <c r="I1198">
        <v>11864.37</v>
      </c>
      <c r="J1198" s="2">
        <v>0</v>
      </c>
      <c r="K1198" t="s">
        <v>18</v>
      </c>
      <c r="L1198">
        <v>142372.44</v>
      </c>
      <c r="M1198" t="str">
        <f>TEXT(Table1[[#This Row],[OrderDate]], "mmm")</f>
        <v>Jun</v>
      </c>
      <c r="N1198" t="str">
        <f>IF(Table1[[#This Row],[TotalSales]]&gt;50000,"High",IF(L1198&gt;20000,"Medium","Low"))</f>
        <v>High</v>
      </c>
      <c r="O1198">
        <f>Table1[[#This Row],[TotalSales]]/Table1[[#This Row],[Quantity]]</f>
        <v>11864.37</v>
      </c>
    </row>
    <row r="1199" spans="1:15" x14ac:dyDescent="0.35">
      <c r="A1199" t="s">
        <v>1257</v>
      </c>
      <c r="B1199" s="1">
        <v>45540</v>
      </c>
      <c r="C1199" t="s">
        <v>40</v>
      </c>
      <c r="D1199" t="s">
        <v>51</v>
      </c>
      <c r="E1199" t="s">
        <v>34</v>
      </c>
      <c r="F1199" t="s">
        <v>35</v>
      </c>
      <c r="G1199" t="s">
        <v>49</v>
      </c>
      <c r="H1199">
        <v>7</v>
      </c>
      <c r="I1199">
        <v>42015.25</v>
      </c>
      <c r="J1199" s="2">
        <v>0.15</v>
      </c>
      <c r="K1199" t="s">
        <v>31</v>
      </c>
      <c r="L1199">
        <v>249990.74</v>
      </c>
      <c r="M1199" t="str">
        <f>TEXT(Table1[[#This Row],[OrderDate]], "mmm")</f>
        <v>Sep</v>
      </c>
      <c r="N1199" t="str">
        <f>IF(Table1[[#This Row],[TotalSales]]&gt;50000,"High",IF(L1199&gt;20000,"Medium","Low"))</f>
        <v>High</v>
      </c>
      <c r="O1199">
        <f>Table1[[#This Row],[TotalSales]]/Table1[[#This Row],[Quantity]]</f>
        <v>35712.962857142855</v>
      </c>
    </row>
    <row r="1200" spans="1:15" x14ac:dyDescent="0.35">
      <c r="A1200" t="s">
        <v>1258</v>
      </c>
      <c r="B1200" s="1">
        <v>45294</v>
      </c>
      <c r="C1200" t="s">
        <v>13</v>
      </c>
      <c r="D1200" t="s">
        <v>33</v>
      </c>
      <c r="E1200" t="s">
        <v>15</v>
      </c>
      <c r="F1200" t="s">
        <v>59</v>
      </c>
      <c r="G1200" t="s">
        <v>24</v>
      </c>
      <c r="H1200">
        <v>13</v>
      </c>
      <c r="I1200">
        <v>29123.98</v>
      </c>
      <c r="J1200" s="2">
        <v>0.05</v>
      </c>
      <c r="K1200" t="s">
        <v>25</v>
      </c>
      <c r="L1200">
        <v>359681.15</v>
      </c>
      <c r="M1200" t="str">
        <f>TEXT(Table1[[#This Row],[OrderDate]], "mmm")</f>
        <v>Jan</v>
      </c>
      <c r="N1200" t="str">
        <f>IF(Table1[[#This Row],[TotalSales]]&gt;50000,"High",IF(L1200&gt;20000,"Medium","Low"))</f>
        <v>High</v>
      </c>
      <c r="O1200">
        <f>Table1[[#This Row],[TotalSales]]/Table1[[#This Row],[Quantity]]</f>
        <v>27667.780769230772</v>
      </c>
    </row>
    <row r="1201" spans="1:15" x14ac:dyDescent="0.35">
      <c r="A1201" t="s">
        <v>1259</v>
      </c>
      <c r="B1201" s="1">
        <v>45483</v>
      </c>
      <c r="C1201" t="s">
        <v>20</v>
      </c>
      <c r="D1201" t="s">
        <v>21</v>
      </c>
      <c r="E1201" t="s">
        <v>15</v>
      </c>
      <c r="F1201" t="s">
        <v>59</v>
      </c>
      <c r="G1201" t="s">
        <v>43</v>
      </c>
      <c r="H1201">
        <v>10</v>
      </c>
      <c r="I1201">
        <v>39867.379999999997</v>
      </c>
      <c r="J1201" s="2">
        <v>0</v>
      </c>
      <c r="K1201" t="s">
        <v>44</v>
      </c>
      <c r="L1201">
        <f>(Table1[[#This Row],[Quantity]]*Table1[[#This Row],[UnitPrice]])-(Table1[[#This Row],[Quantity]]*Table1[[#This Row],[UnitPrice]])*Table1[[#This Row],[Discount%]]</f>
        <v>398673.8</v>
      </c>
      <c r="M1201" t="str">
        <f>TEXT(Table1[[#This Row],[OrderDate]], "mmm")</f>
        <v>Jul</v>
      </c>
      <c r="N1201" t="str">
        <f>IF(Table1[[#This Row],[TotalSales]]&gt;50000,"High",IF(L1201&gt;20000,"Medium","Low"))</f>
        <v>High</v>
      </c>
      <c r="O1201">
        <f>Table1[[#This Row],[TotalSales]]/Table1[[#This Row],[Quantity]]</f>
        <v>39867.379999999997</v>
      </c>
    </row>
    <row r="1202" spans="1:15" x14ac:dyDescent="0.35">
      <c r="B1202" s="1"/>
      <c r="M1202" t="str">
        <f>TEXT(Table1[[#This Row],[OrderDate]], "mmm")</f>
        <v>Jan</v>
      </c>
      <c r="N1202" t="str">
        <f>IF(Table1[[#This Row],[TotalSales]]&gt;50000,"High",IF(L1202&gt;20000,"Medium","Low"))</f>
        <v>Low</v>
      </c>
      <c r="O1202" t="e">
        <f>Table1[[#This Row],[TotalSales]]/Table1[[#This Row],[Quantity]]</f>
        <v>#DIV/0!</v>
      </c>
    </row>
    <row r="1203" spans="1:15" x14ac:dyDescent="0.35">
      <c r="B1203" s="1"/>
      <c r="M1203" t="str">
        <f>TEXT(Table1[[#This Row],[OrderDate]], "mmm")</f>
        <v>Jan</v>
      </c>
      <c r="N1203" t="str">
        <f>IF(Table1[[#This Row],[TotalSales]]&gt;50000,"High",IF(L1203&gt;20000,"Medium","Low"))</f>
        <v>Low</v>
      </c>
      <c r="O1203" t="e">
        <f>Table1[[#This Row],[TotalSales]]/Table1[[#This Row],[Quantity]]</f>
        <v>#DIV/0!</v>
      </c>
    </row>
    <row r="1204" spans="1:15" x14ac:dyDescent="0.35">
      <c r="B1204" s="1"/>
      <c r="M1204" t="str">
        <f>TEXT(Table1[[#This Row],[OrderDate]], "mmm")</f>
        <v>Jan</v>
      </c>
      <c r="N1204" t="str">
        <f>IF(Table1[[#This Row],[TotalSales]]&gt;50000,"High",IF(L1204&gt;20000,"Medium","Low"))</f>
        <v>Low</v>
      </c>
      <c r="O1204" t="e">
        <f>Table1[[#This Row],[TotalSales]]/Table1[[#This Row],[Quantity]]</f>
        <v>#DIV/0!</v>
      </c>
    </row>
    <row r="1205" spans="1:15" x14ac:dyDescent="0.35">
      <c r="B1205" s="1"/>
      <c r="M1205" t="str">
        <f>TEXT(Table1[[#This Row],[OrderDate]], "mmm")</f>
        <v>Jan</v>
      </c>
      <c r="N1205" t="str">
        <f>IF(Table1[[#This Row],[TotalSales]]&gt;50000,"High",IF(L1205&gt;20000,"Medium","Low"))</f>
        <v>Low</v>
      </c>
      <c r="O1205" t="e">
        <f>Table1[[#This Row],[TotalSales]]/Table1[[#This Row],[Quantity]]</f>
        <v>#DIV/0!</v>
      </c>
    </row>
    <row r="1206" spans="1:15" x14ac:dyDescent="0.35">
      <c r="B1206" s="1"/>
      <c r="M1206" t="str">
        <f>TEXT(Table1[[#This Row],[OrderDate]], "mmm")</f>
        <v>Jan</v>
      </c>
      <c r="N1206" t="str">
        <f>IF(Table1[[#This Row],[TotalSales]]&gt;50000,"High",IF(L1206&gt;20000,"Medium","Low"))</f>
        <v>Low</v>
      </c>
      <c r="O1206" t="e">
        <f>Table1[[#This Row],[TotalSales]]/Table1[[#This Row],[Quantity]]</f>
        <v>#DIV/0!</v>
      </c>
    </row>
    <row r="1207" spans="1:15" x14ac:dyDescent="0.35">
      <c r="B1207" s="1"/>
      <c r="M1207" t="str">
        <f>TEXT(Table1[[#This Row],[OrderDate]], "mmm")</f>
        <v>Jan</v>
      </c>
      <c r="N1207" t="str">
        <f>IF(Table1[[#This Row],[TotalSales]]&gt;50000,"High",IF(L1207&gt;20000,"Medium","Low"))</f>
        <v>Low</v>
      </c>
      <c r="O1207" t="e">
        <f>Table1[[#This Row],[TotalSales]]/Table1[[#This Row],[Quantity]]</f>
        <v>#DIV/0!</v>
      </c>
    </row>
    <row r="1208" spans="1:15" x14ac:dyDescent="0.35">
      <c r="B1208" s="1"/>
      <c r="M1208" t="str">
        <f>TEXT(Table1[[#This Row],[OrderDate]], "mmm")</f>
        <v>Jan</v>
      </c>
      <c r="N1208" t="str">
        <f>IF(Table1[[#This Row],[TotalSales]]&gt;50000,"High",IF(L1208&gt;20000,"Medium","Low"))</f>
        <v>Low</v>
      </c>
      <c r="O1208" t="e">
        <f>Table1[[#This Row],[TotalSales]]/Table1[[#This Row],[Quantity]]</f>
        <v>#DIV/0!</v>
      </c>
    </row>
    <row r="1209" spans="1:15" x14ac:dyDescent="0.35">
      <c r="B1209" s="1"/>
      <c r="M1209" t="str">
        <f>TEXT(Table1[[#This Row],[OrderDate]], "mmm")</f>
        <v>Jan</v>
      </c>
      <c r="N1209" t="str">
        <f>IF(Table1[[#This Row],[TotalSales]]&gt;50000,"High",IF(L1209&gt;20000,"Medium","Low"))</f>
        <v>Low</v>
      </c>
      <c r="O1209" t="e">
        <f>Table1[[#This Row],[TotalSales]]/Table1[[#This Row],[Quantity]]</f>
        <v>#DIV/0!</v>
      </c>
    </row>
    <row r="1210" spans="1:15" x14ac:dyDescent="0.35">
      <c r="B1210" s="1"/>
      <c r="M1210" t="str">
        <f>TEXT(Table1[[#This Row],[OrderDate]], "mmm")</f>
        <v>Jan</v>
      </c>
      <c r="N1210" t="str">
        <f>IF(Table1[[#This Row],[TotalSales]]&gt;50000,"High",IF(L1210&gt;20000,"Medium","Low"))</f>
        <v>Low</v>
      </c>
      <c r="O1210" t="e">
        <f>Table1[[#This Row],[TotalSales]]/Table1[[#This Row],[Quantity]]</f>
        <v>#DIV/0!</v>
      </c>
    </row>
    <row r="1211" spans="1:15" x14ac:dyDescent="0.35">
      <c r="B1211" s="1"/>
      <c r="M1211" t="str">
        <f>TEXT(Table1[[#This Row],[OrderDate]], "mmm")</f>
        <v>Jan</v>
      </c>
      <c r="N1211" t="str">
        <f>IF(Table1[[#This Row],[TotalSales]]&gt;50000,"High",IF(L1211&gt;20000,"Medium","Low"))</f>
        <v>Low</v>
      </c>
      <c r="O1211" t="e">
        <f>Table1[[#This Row],[TotalSales]]/Table1[[#This Row],[Quantity]]</f>
        <v>#DIV/0!</v>
      </c>
    </row>
    <row r="1212" spans="1:15" x14ac:dyDescent="0.35">
      <c r="B1212" s="1"/>
      <c r="M1212" t="str">
        <f>TEXT(Table1[[#This Row],[OrderDate]], "mmm")</f>
        <v>Jan</v>
      </c>
      <c r="N1212" t="str">
        <f>IF(Table1[[#This Row],[TotalSales]]&gt;50000,"High",IF(L1212&gt;20000,"Medium","Low"))</f>
        <v>Low</v>
      </c>
      <c r="O1212" t="e">
        <f>Table1[[#This Row],[TotalSales]]/Table1[[#This Row],[Quantity]]</f>
        <v>#DIV/0!</v>
      </c>
    </row>
    <row r="1213" spans="1:15" x14ac:dyDescent="0.35">
      <c r="B1213" s="1"/>
      <c r="M1213" t="str">
        <f>TEXT(Table1[[#This Row],[OrderDate]], "mmm")</f>
        <v>Jan</v>
      </c>
      <c r="N1213" t="str">
        <f>IF(Table1[[#This Row],[TotalSales]]&gt;50000,"High",IF(L1213&gt;20000,"Medium","Low"))</f>
        <v>Low</v>
      </c>
      <c r="O1213" t="e">
        <f>Table1[[#This Row],[TotalSales]]/Table1[[#This Row],[Quantity]]</f>
        <v>#DIV/0!</v>
      </c>
    </row>
    <row r="1214" spans="1:15" x14ac:dyDescent="0.35">
      <c r="B1214" s="1"/>
      <c r="M1214" t="str">
        <f>TEXT(Table1[[#This Row],[OrderDate]], "mmm")</f>
        <v>Jan</v>
      </c>
      <c r="N1214" t="str">
        <f>IF(Table1[[#This Row],[TotalSales]]&gt;50000,"High",IF(L1214&gt;20000,"Medium","Low"))</f>
        <v>Low</v>
      </c>
      <c r="O1214" t="e">
        <f>Table1[[#This Row],[TotalSales]]/Table1[[#This Row],[Quantity]]</f>
        <v>#DIV/0!</v>
      </c>
    </row>
    <row r="1215" spans="1:15" x14ac:dyDescent="0.35">
      <c r="B1215" s="1"/>
      <c r="M1215" t="str">
        <f>TEXT(Table1[[#This Row],[OrderDate]], "mmm")</f>
        <v>Jan</v>
      </c>
      <c r="N1215" t="str">
        <f>IF(Table1[[#This Row],[TotalSales]]&gt;50000,"High",IF(L1215&gt;20000,"Medium","Low"))</f>
        <v>Low</v>
      </c>
      <c r="O1215" t="e">
        <f>Table1[[#This Row],[TotalSales]]/Table1[[#This Row],[Quantity]]</f>
        <v>#DIV/0!</v>
      </c>
    </row>
    <row r="1216" spans="1:15" x14ac:dyDescent="0.35">
      <c r="B1216" s="1"/>
      <c r="M1216" t="str">
        <f>TEXT(Table1[[#This Row],[OrderDate]], "mmm")</f>
        <v>Jan</v>
      </c>
      <c r="N1216" t="str">
        <f>IF(Table1[[#This Row],[TotalSales]]&gt;50000,"High",IF(L1216&gt;20000,"Medium","Low"))</f>
        <v>Low</v>
      </c>
      <c r="O1216" t="e">
        <f>Table1[[#This Row],[TotalSales]]/Table1[[#This Row],[Quantity]]</f>
        <v>#DIV/0!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Sharma</dc:creator>
  <cp:lastModifiedBy>Rohit Sharma</cp:lastModifiedBy>
  <dcterms:created xsi:type="dcterms:W3CDTF">2026-09-22T06:45:57Z</dcterms:created>
  <dcterms:modified xsi:type="dcterms:W3CDTF">2026-09-22T18:30:20Z</dcterms:modified>
</cp:coreProperties>
</file>